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Modified Calculator" sheetId="2" state="visible" r:id="rId2"/>
    <sheet xmlns:r="http://schemas.openxmlformats.org/officeDocument/2006/relationships" name="no turns" sheetId="3" state="visible" r:id="rId3"/>
    <sheet xmlns:r="http://schemas.openxmlformats.org/officeDocument/2006/relationships" name="3 turns" sheetId="4" state="visible" r:id="rId4"/>
  </sheets>
  <definedNames>
    <definedName name="Deck">Calculator!$B$4</definedName>
    <definedName name="Hand">Calculator!$B$3</definedName>
    <definedName name="Target">Calculator!$B$1</definedName>
    <definedName name="Trigger">Calculator!$B$2</definedName>
    <definedName name="Deck" localSheetId="1">'Modified Calculator'!$B$4</definedName>
    <definedName name="Hand" localSheetId="1">'Modified Calculator'!$B$3</definedName>
    <definedName name="Target" localSheetId="1">'Modified Calculator'!$B$1</definedName>
    <definedName name="Trigger" localSheetId="1">'Modified Calculator'!$B$2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9" tint="-0.499984740745262"/>
      <sz val="11"/>
      <scheme val="minor"/>
    </font>
    <font>
      <name val="Calibri"/>
      <b val="1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10" fontId="1" fillId="0" borderId="0" pivotButton="0" quotePrefix="0" xfId="1"/>
    <xf numFmtId="0" fontId="2" fillId="0" borderId="0" pivotButton="0" quotePrefix="0" xfId="0"/>
    <xf numFmtId="0" fontId="2" fillId="2" borderId="1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0" borderId="0" pivotButton="0" quotePrefix="0" xfId="1"/>
    <xf numFmtId="0" fontId="0" fillId="0" borderId="1" pivotButton="0" quotePrefix="0" xfId="0"/>
    <xf numFmtId="164" fontId="1" fillId="7" borderId="0" pivotButton="0" quotePrefix="0" xfId="1"/>
    <xf numFmtId="0" fontId="0" fillId="7" borderId="0" applyAlignment="1" pivotButton="0" quotePrefix="0" xfId="0">
      <alignment horizontal="center"/>
    </xf>
    <xf numFmtId="10" fontId="1" fillId="8" borderId="2" pivotButton="0" quotePrefix="0" xfId="1"/>
    <xf numFmtId="10" fontId="1" fillId="8" borderId="0" pivotButton="0" quotePrefix="0" xfId="1"/>
    <xf numFmtId="10" fontId="1" fillId="7" borderId="0" pivotButton="0" quotePrefix="0" xfId="1"/>
    <xf numFmtId="0" fontId="2" fillId="6" borderId="0" pivotButton="0" quotePrefix="0" xfId="0"/>
    <xf numFmtId="0" fontId="2" fillId="6" borderId="0" pivotButton="0" quotePrefix="0" xfId="1"/>
    <xf numFmtId="0" fontId="2" fillId="6" borderId="0" applyAlignment="1" pivotButton="0" quotePrefix="0" xfId="1">
      <alignment horizontal="center"/>
    </xf>
    <xf numFmtId="10" fontId="3" fillId="7" borderId="0" pivotButton="0" quotePrefix="0" xfId="1"/>
    <xf numFmtId="0" fontId="4" fillId="0" borderId="3" applyAlignment="1" pivotButton="0" quotePrefix="0" xfId="0">
      <alignment horizontal="center" vertical="top"/>
    </xf>
    <xf numFmtId="0" fontId="2" fillId="7" borderId="0" applyAlignment="1" pivotButton="0" quotePrefix="0" xfId="0">
      <alignment horizontal="left"/>
    </xf>
    <xf numFmtId="0" fontId="0" fillId="0" borderId="0" pivotButton="0" quotePrefix="0" xfId="0"/>
    <xf numFmtId="10" fontId="0" fillId="0" borderId="0" pivotButton="0" quotePrefix="0" xfId="0"/>
    <xf numFmtId="0" fontId="5" fillId="0" borderId="4" applyAlignment="1" pivotButton="0" quotePrefix="0" xfId="0">
      <alignment horizontal="center" vertical="top"/>
    </xf>
  </cellXfs>
  <cellStyles count="2">
    <cellStyle name="Normal" xfId="0" builtinId="0"/>
    <cellStyle name="Per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I2" sqref="I2"/>
    </sheetView>
  </sheetViews>
  <sheetFormatPr baseColWidth="8" defaultRowHeight="14.5"/>
  <cols>
    <col width="8.6328125" customWidth="1" style="20" min="5" max="10"/>
    <col width="3.6328125" customWidth="1" style="20" min="12" max="12"/>
    <col width="8.6328125" customWidth="1" style="20" min="13" max="14"/>
    <col width="3.6328125" customWidth="1" style="20" min="15" max="15"/>
    <col width="8.6328125" customWidth="1" style="20" min="16" max="19"/>
    <col width="8.7265625" customWidth="1" style="20" min="20" max="23"/>
  </cols>
  <sheetData>
    <row r="1">
      <c r="A1" s="4" t="inlineStr">
        <is>
          <t>Target</t>
        </is>
      </c>
      <c r="B1" t="n">
        <v>4</v>
      </c>
      <c r="D1" s="5" t="inlineStr">
        <is>
          <t>Opening</t>
        </is>
      </c>
      <c r="E1" s="5" t="n">
        <v>5</v>
      </c>
      <c r="F1" s="5" t="n">
        <v>4</v>
      </c>
      <c r="G1" s="5" t="n">
        <v>3</v>
      </c>
      <c r="H1" s="5" t="n">
        <v>2</v>
      </c>
      <c r="I1" s="5" t="n">
        <v>1</v>
      </c>
      <c r="J1" s="5" t="n">
        <v>0</v>
      </c>
      <c r="L1" s="19" t="inlineStr">
        <is>
          <t>Average</t>
        </is>
      </c>
      <c r="N1" s="9">
        <f>SUMPRODUCT(L4:L28,M4:M28)</f>
        <v/>
      </c>
      <c r="O1" s="10" t="inlineStr">
        <is>
          <t>/</t>
        </is>
      </c>
      <c r="P1" s="9">
        <f>SUMPRODUCT(L4:L28,P4:P28)</f>
        <v/>
      </c>
    </row>
    <row r="2">
      <c r="A2" s="3" t="inlineStr">
        <is>
          <t>Return</t>
        </is>
      </c>
      <c r="B2" s="8" t="n">
        <v>16</v>
      </c>
      <c r="D2" s="5" t="inlineStr">
        <is>
          <t>Hand</t>
        </is>
      </c>
      <c r="E2" s="1">
        <f t="array" ref="E2">SUM(_xlfn.MAKEARRAY(6,6,_xlfn.LAMBDA(_xlpm.targets,_xlpm.triggers,IFERROR(_xlfn.HYPGEOM.DIST(E$1-_xlpm.targets+1,_xlpm.triggers-1,Target-_xlpm.targets+1,Deck-Hand,FALSE)*COMBIN(Target,_xlpm.targets-1)*COMBIN(Trigger,_xlpm.triggers-1)*COMBIN(Deck-Target-Trigger,Hand-_xlpm.targets-_xlpm.triggers+2)/COMBIN(Deck,Hand),0))))</f>
        <v/>
      </c>
      <c r="F2" s="1">
        <f t="array" ref="F2">SUM(_xlfn.MAKEARRAY(6,6,_xlfn.LAMBDA(_xlpm.targets,_xlpm.triggers,IFERROR(_xlfn.HYPGEOM.DIST(F$1-_xlpm.targets+1,_xlpm.triggers-1,Target-_xlpm.targets+1,Deck-Hand,FALSE)*COMBIN(Target,_xlpm.targets-1)*COMBIN(Trigger,_xlpm.triggers-1)*COMBIN(Deck-Target-Trigger,Hand-_xlpm.targets-_xlpm.triggers+2)/COMBIN(Deck,Hand),0))))</f>
        <v/>
      </c>
      <c r="G2" s="1">
        <f t="array" ref="G2">SUM(_xlfn.MAKEARRAY(6,6,_xlfn.LAMBDA(_xlpm.targets,_xlpm.triggers,IFERROR(_xlfn.HYPGEOM.DIST(G$1-_xlpm.targets+1,_xlpm.triggers-1,Target-_xlpm.targets+1,Deck-Hand,FALSE)*COMBIN(Target,_xlpm.targets-1)*COMBIN(Trigger,_xlpm.triggers-1)*COMBIN(Deck-Target-Trigger,Hand-_xlpm.targets-_xlpm.triggers+2)/COMBIN(Deck,Hand),0))))</f>
        <v/>
      </c>
      <c r="H2" s="1">
        <f t="array" ref="H2">SUM(_xlfn.MAKEARRAY(6,6,_xlfn.LAMBDA(_xlpm.targets,_xlpm.triggers,IFERROR(_xlfn.HYPGEOM.DIST(H$1-_xlpm.targets+1,_xlpm.triggers-1,Target-_xlpm.targets+1,Deck-Hand,FALSE)*COMBIN(Target,_xlpm.targets-1)*COMBIN(Trigger,_xlpm.triggers-1)*COMBIN(Deck-Target-Trigger,Hand-_xlpm.targets-_xlpm.triggers+2)/COMBIN(Deck,Hand),0))))</f>
        <v/>
      </c>
      <c r="I2" s="1">
        <f t="array" ref="I2">SUM(_xlfn.MAKEARRAY(6,6,_xlfn.LAMBDA(_xlpm.targets,_xlpm.triggers,IFERROR(_xlfn.HYPGEOM.DIST(I$1-_xlpm.targets+1,_xlpm.triggers-1,Target-_xlpm.targets+1,Deck-Hand,FALSE)*COMBIN(Target,_xlpm.targets-1)*COMBIN(Trigger,_xlpm.triggers-1)*COMBIN(Deck-Target-Trigger,Hand-_xlpm.targets-_xlpm.triggers+2)/COMBIN(Deck,Hand),0))))</f>
        <v/>
      </c>
      <c r="J2" s="1">
        <f t="array" ref="J2">SUM(_xlfn.MAKEARRAY(6,6,_xlfn.LAMBDA(_xlpm.targets,_xlpm.triggers,IFERROR(_xlfn.HYPGEOM.DIST(J$1-_xlpm.targets+1,_xlpm.triggers-1,Target-_xlpm.targets+1,Deck-Hand,FALSE)*COMBIN(Target,_xlpm.targets-1)*COMBIN(Trigger,_xlpm.triggers-1)*COMBIN(Deck-Target-Trigger,Hand-_xlpm.targets-_xlpm.triggers+2)/COMBIN(Deck,Hand),0))))</f>
        <v/>
      </c>
      <c r="K2" s="1" t="n"/>
      <c r="T2" s="7" t="n"/>
    </row>
    <row r="3">
      <c r="A3" s="2" t="inlineStr">
        <is>
          <t>Hand</t>
        </is>
      </c>
      <c r="B3" t="n">
        <v>5</v>
      </c>
      <c r="D3" s="6" t="n"/>
      <c r="E3" s="6" t="n"/>
      <c r="F3" s="6" t="n"/>
      <c r="G3" s="6" t="n"/>
      <c r="H3" s="6" t="n"/>
      <c r="I3" s="6" t="n"/>
      <c r="J3" s="6" t="n"/>
      <c r="L3" s="14" t="inlineStr">
        <is>
          <t>#</t>
        </is>
      </c>
      <c r="M3" s="15" t="inlineStr">
        <is>
          <t>1st</t>
        </is>
      </c>
      <c r="N3" s="15" t="inlineStr">
        <is>
          <t>2nd</t>
        </is>
      </c>
      <c r="O3" s="16" t="inlineStr">
        <is>
          <t>/</t>
        </is>
      </c>
      <c r="P3" s="15" t="inlineStr">
        <is>
          <t>Both</t>
        </is>
      </c>
      <c r="R3" s="7" t="n"/>
      <c r="S3" s="7" t="n"/>
      <c r="T3" s="7" t="n"/>
    </row>
    <row r="4">
      <c r="A4" s="2" t="inlineStr">
        <is>
          <t>Deck</t>
        </is>
      </c>
      <c r="B4" t="n">
        <v>50</v>
      </c>
      <c r="D4" s="6" t="n">
        <v>0</v>
      </c>
      <c r="E4" s="1">
        <f>IFERROR(HYPGEOMDIST($D4, $B$6, Target-E$1,Deck-Hand)*E$2,0)</f>
        <v/>
      </c>
      <c r="F4" s="1">
        <f>IFERROR(HYPGEOMDIST($D4, $B$6, Target-F$1,Deck-Hand)*F$2,0)</f>
        <v/>
      </c>
      <c r="G4" s="1">
        <f>IFERROR(HYPGEOMDIST($D4, $B$6, Target-G$1,Deck-Hand)*G$2,0)</f>
        <v/>
      </c>
      <c r="H4" s="1">
        <f>IFERROR(HYPGEOMDIST($D4, $B$6, Target-H$1,Deck-Hand)*H$2,0)</f>
        <v/>
      </c>
      <c r="I4" s="1">
        <f>IFERROR(HYPGEOMDIST($D4, $B$6, Target-I$1,Deck-Hand)*I$2,0)</f>
        <v/>
      </c>
      <c r="J4" s="1">
        <f>IFERROR(HYPGEOMDIST($D4, $B$6, Target-J$1,Deck-Hand)*J$2,0)</f>
        <v/>
      </c>
      <c r="L4" s="14" t="n">
        <v>0</v>
      </c>
      <c r="M4" s="11">
        <f t="array" ref="M4">SUM((COLUMN($E$4:$J$28)-ROW($E$4:$J$28)=6-$L4)*$E$4:$J$28)</f>
        <v/>
      </c>
      <c r="N4" s="17" t="n">
        <v>0.04293762785669348</v>
      </c>
      <c r="O4" s="13" t="n"/>
      <c r="P4" s="12">
        <f>(M4+N4)/2</f>
        <v/>
      </c>
      <c r="Q4" s="1" t="n"/>
      <c r="R4" s="7" t="n"/>
      <c r="S4" s="7" t="n"/>
      <c r="T4" s="7" t="n"/>
    </row>
    <row r="5">
      <c r="D5" s="6" t="n">
        <v>1</v>
      </c>
      <c r="E5" s="1">
        <f>IFERROR(HYPGEOMDIST($D5, $B$6, Target-E$1,Deck-Hand)*E$2,0)</f>
        <v/>
      </c>
      <c r="F5" s="1">
        <f>IFERROR(HYPGEOMDIST($D5, $B$6, Target-F$1,Deck-Hand)*F$2,0)</f>
        <v/>
      </c>
      <c r="G5" s="1">
        <f>IFERROR(HYPGEOMDIST($D5, $B$6, Target-G$1,Deck-Hand)*G$2,0)</f>
        <v/>
      </c>
      <c r="H5" s="1">
        <f>IFERROR(HYPGEOMDIST($D5, $B$6, Target-H$1,Deck-Hand)*H$2,0)</f>
        <v/>
      </c>
      <c r="I5" s="1">
        <f>IFERROR(HYPGEOMDIST($D5, $B$6, Target-I$1,Deck-Hand)*I$2,0)</f>
        <v/>
      </c>
      <c r="J5" s="1">
        <f>IFERROR(HYPGEOMDIST($D5, $B$6, Target-J$1,Deck-Hand)*J$2,0)</f>
        <v/>
      </c>
      <c r="L5" s="14" t="n">
        <v>1</v>
      </c>
      <c r="M5" s="11">
        <f t="array" ref="M5">SUM((COLUMN($E$4:$J$28)-ROW($E$4:$J$28)=6-$L5)*$E$4:$J$28)</f>
        <v/>
      </c>
      <c r="N5" s="17" t="n">
        <v>0.1865231949405723</v>
      </c>
      <c r="O5" s="13" t="n"/>
      <c r="P5" s="12">
        <f>(M5+N5)/2</f>
        <v/>
      </c>
      <c r="Q5" s="1" t="n"/>
      <c r="R5" s="1" t="n"/>
      <c r="S5" s="7" t="n"/>
      <c r="T5" s="7" t="n"/>
    </row>
    <row r="6">
      <c r="A6" s="2" t="inlineStr">
        <is>
          <t>Draws</t>
        </is>
      </c>
      <c r="B6" t="n">
        <v>3</v>
      </c>
      <c r="D6" s="6" t="n">
        <v>2</v>
      </c>
      <c r="E6" s="1">
        <f>IFERROR(HYPGEOMDIST($D6, $B$6, Target-E$1,Deck-Hand)*E$2,0)</f>
        <v/>
      </c>
      <c r="F6" s="1">
        <f>IFERROR(HYPGEOMDIST($D6, $B$6, Target-F$1,Deck-Hand)*F$2,0)</f>
        <v/>
      </c>
      <c r="G6" s="1">
        <f>IFERROR(HYPGEOMDIST($D6, $B$6, Target-G$1,Deck-Hand)*G$2,0)</f>
        <v/>
      </c>
      <c r="H6" s="1">
        <f>IFERROR(HYPGEOMDIST($D6, $B$6, Target-H$1,Deck-Hand)*H$2,0)</f>
        <v/>
      </c>
      <c r="I6" s="1">
        <f>IFERROR(HYPGEOMDIST($D6, $B$6, Target-I$1,Deck-Hand)*I$2,0)</f>
        <v/>
      </c>
      <c r="J6" s="1">
        <f>IFERROR(HYPGEOMDIST($D6, $B$6, Target-J$1,Deck-Hand)*J$2,0)</f>
        <v/>
      </c>
      <c r="L6" s="14" t="n">
        <v>2</v>
      </c>
      <c r="M6" s="11">
        <f t="array" ref="M6">SUM((COLUMN($E$4:$J$28)-ROW($E$4:$J$28)=6-$L6)*$E$4:$J$28)</f>
        <v/>
      </c>
      <c r="N6" s="17" t="n">
        <v>0.3174397965480525</v>
      </c>
      <c r="O6" s="13" t="n"/>
      <c r="P6" s="12">
        <f>(M6+N6)/2</f>
        <v/>
      </c>
      <c r="Q6" s="1" t="n"/>
      <c r="R6" s="7" t="n"/>
      <c r="S6" s="7" t="n"/>
      <c r="T6" s="7" t="n"/>
    </row>
    <row r="7">
      <c r="B7" t="inlineStr">
        <is>
          <t xml:space="preserve"> </t>
        </is>
      </c>
      <c r="D7" s="6" t="n">
        <v>3</v>
      </c>
      <c r="E7" s="1">
        <f>IFERROR(HYPGEOMDIST($D7, $B$6, Target-E$1,Deck-Hand)*E$2,0)</f>
        <v/>
      </c>
      <c r="F7" s="1">
        <f>IFERROR(HYPGEOMDIST($D7, $B$6, Target-F$1,Deck-Hand)*F$2,0)</f>
        <v/>
      </c>
      <c r="G7" s="1">
        <f>IFERROR(HYPGEOMDIST($D7, $B$6, Target-G$1,Deck-Hand)*G$2,0)</f>
        <v/>
      </c>
      <c r="H7" s="1">
        <f>IFERROR(HYPGEOMDIST($D7, $B$6, Target-H$1,Deck-Hand)*H$2,0)</f>
        <v/>
      </c>
      <c r="I7" s="1">
        <f>IFERROR(HYPGEOMDIST($D7, $B$6, Target-I$1,Deck-Hand)*I$2,0)</f>
        <v/>
      </c>
      <c r="J7" s="1">
        <f>IFERROR(HYPGEOMDIST($D7, $B$6, Target-J$1,Deck-Hand)*J$2,0)</f>
        <v/>
      </c>
      <c r="L7" s="14" t="n">
        <v>3</v>
      </c>
      <c r="M7" s="11">
        <f t="array" ref="M7">SUM((COLUMN($E$4:$J$28)-ROW($E$4:$J$28)=6-$L7)*$E$4:$J$28)</f>
        <v/>
      </c>
      <c r="N7" s="17" t="n">
        <v>0.2758945030181038</v>
      </c>
      <c r="O7" s="13" t="n"/>
      <c r="P7" s="12">
        <f>(M7+N7)/2</f>
        <v/>
      </c>
      <c r="Q7" s="1" t="n"/>
      <c r="R7" s="7" t="n"/>
      <c r="S7" s="7" t="n"/>
    </row>
    <row r="8">
      <c r="D8" s="6" t="n">
        <v>4</v>
      </c>
      <c r="E8" s="1">
        <f>IFERROR(HYPGEOMDIST($D8, $B$6, Target-E$1,Deck-Hand)*E$2,0)</f>
        <v/>
      </c>
      <c r="F8" s="1">
        <f>IFERROR(HYPGEOMDIST($D8, $B$6, Target-F$1,Deck-Hand)*F$2,0)</f>
        <v/>
      </c>
      <c r="G8" s="1">
        <f>IFERROR(HYPGEOMDIST($D8, $B$6, Target-G$1,Deck-Hand)*G$2,0)</f>
        <v/>
      </c>
      <c r="H8" s="1">
        <f>IFERROR(HYPGEOMDIST($D8, $B$6, Target-H$1,Deck-Hand)*H$2,0)</f>
        <v/>
      </c>
      <c r="I8" s="1">
        <f>IFERROR(HYPGEOMDIST($D8, $B$6, Target-I$1,Deck-Hand)*I$2,0)</f>
        <v/>
      </c>
      <c r="J8" s="1">
        <f>IFERROR(HYPGEOMDIST($D8, $B$6, Target-J$1,Deck-Hand)*J$2,0)</f>
        <v/>
      </c>
      <c r="L8" s="14" t="n">
        <v>4</v>
      </c>
      <c r="M8" s="11">
        <f t="array" ref="M8">SUM((COLUMN($E$4:$J$28)-ROW($E$4:$J$28)=6-$L8)*$E$4:$J$28)</f>
        <v/>
      </c>
      <c r="N8" s="17" t="n">
        <v>0.1337802136298344</v>
      </c>
      <c r="O8" s="13" t="n"/>
      <c r="P8" s="12">
        <f>(M8+N8)/2</f>
        <v/>
      </c>
      <c r="Q8" s="1" t="n"/>
      <c r="R8" s="7" t="n"/>
      <c r="S8" s="7" t="n"/>
    </row>
    <row r="9">
      <c r="D9" s="6" t="n">
        <v>5</v>
      </c>
      <c r="E9" s="1">
        <f>IFERROR(HYPGEOMDIST($D9, $B$6, Target-E$1,Deck-Hand)*E$2,0)</f>
        <v/>
      </c>
      <c r="F9" s="1">
        <f>IFERROR(HYPGEOMDIST($D9, $B$6, Target-F$1,Deck-Hand)*F$2,0)</f>
        <v/>
      </c>
      <c r="G9" s="1">
        <f>IFERROR(HYPGEOMDIST($D9, $B$6, Target-G$1,Deck-Hand)*G$2,0)</f>
        <v/>
      </c>
      <c r="H9" s="1">
        <f>IFERROR(HYPGEOMDIST($D9, $B$6, Target-H$1,Deck-Hand)*H$2,0)</f>
        <v/>
      </c>
      <c r="I9" s="1">
        <f>IFERROR(HYPGEOMDIST($D9, $B$6, Target-I$1,Deck-Hand)*I$2,0)</f>
        <v/>
      </c>
      <c r="J9" s="1">
        <f>IFERROR(HYPGEOMDIST($D9, $B$6, Target-J$1,Deck-Hand)*J$2,0)</f>
        <v/>
      </c>
      <c r="L9" s="14" t="n">
        <v>5</v>
      </c>
      <c r="M9" s="11">
        <f t="array" ref="M9">SUM((COLUMN($E$4:$J$28)-ROW($E$4:$J$28)=6-$L9)*$E$4:$J$28)</f>
        <v/>
      </c>
      <c r="N9" s="17" t="n">
        <v>0.03711499432967311</v>
      </c>
      <c r="O9" s="13" t="n"/>
      <c r="P9" s="12">
        <f>(M9+N9)/2</f>
        <v/>
      </c>
      <c r="Q9" s="1" t="n"/>
      <c r="R9" s="7" t="n"/>
      <c r="S9" s="7" t="n"/>
    </row>
    <row r="10">
      <c r="D10" s="6" t="n">
        <v>6</v>
      </c>
      <c r="E10" s="1">
        <f>IFERROR(HYPGEOMDIST($D10, $B$6, Target-E$1,Deck-Hand)*E$2,0)</f>
        <v/>
      </c>
      <c r="F10" s="1">
        <f>IFERROR(HYPGEOMDIST($D10, $B$6, Target-F$1,Deck-Hand)*F$2,0)</f>
        <v/>
      </c>
      <c r="G10" s="1">
        <f>IFERROR(HYPGEOMDIST($D10, $B$6, Target-G$1,Deck-Hand)*G$2,0)</f>
        <v/>
      </c>
      <c r="H10" s="1">
        <f>IFERROR(HYPGEOMDIST($D10, $B$6, Target-H$1,Deck-Hand)*H$2,0)</f>
        <v/>
      </c>
      <c r="I10" s="1">
        <f>IFERROR(HYPGEOMDIST($D10, $B$6, Target-I$1,Deck-Hand)*I$2,0)</f>
        <v/>
      </c>
      <c r="J10" s="1">
        <f>IFERROR(HYPGEOMDIST($D10, $B$6, Target-J$1,Deck-Hand)*J$2,0)</f>
        <v/>
      </c>
      <c r="L10" s="14" t="n">
        <v>6</v>
      </c>
      <c r="M10" s="11">
        <f t="array" ref="M10">SUM((COLUMN($E$4:$J$28)-ROW($E$4:$J$28)=6-$L10)*$E$4:$J$28)</f>
        <v/>
      </c>
      <c r="N10" s="17" t="n">
        <v>0.005806083593536859</v>
      </c>
      <c r="O10" s="13" t="n"/>
      <c r="P10" s="12">
        <f>(M10+N10)/2</f>
        <v/>
      </c>
      <c r="Q10" s="1" t="n"/>
      <c r="R10" s="7" t="n"/>
      <c r="S10" s="7" t="n"/>
    </row>
    <row r="11">
      <c r="D11" s="6" t="n">
        <v>7</v>
      </c>
      <c r="E11" s="1">
        <f>IFERROR(HYPGEOMDIST($D11, $B$6, Target-E$1,Deck-Hand)*E$2,0)</f>
        <v/>
      </c>
      <c r="F11" s="1">
        <f>IFERROR(HYPGEOMDIST($D11, $B$6, Target-F$1,Deck-Hand)*F$2,0)</f>
        <v/>
      </c>
      <c r="G11" s="1">
        <f>IFERROR(HYPGEOMDIST($D11, $B$6, Target-G$1,Deck-Hand)*G$2,0)</f>
        <v/>
      </c>
      <c r="H11" s="1">
        <f>IFERROR(HYPGEOMDIST($D11, $B$6, Target-H$1,Deck-Hand)*H$2,0)</f>
        <v/>
      </c>
      <c r="I11" s="1">
        <f>IFERROR(HYPGEOMDIST($D11, $B$6, Target-I$1,Deck-Hand)*I$2,0)</f>
        <v/>
      </c>
      <c r="J11" s="1">
        <f>IFERROR(HYPGEOMDIST($D11, $B$6, Target-J$1,Deck-Hand)*J$2,0)</f>
        <v/>
      </c>
      <c r="L11" s="14" t="n">
        <v>7</v>
      </c>
      <c r="M11" s="11">
        <f t="array" ref="M11">SUM((COLUMN($E$4:$J$28)-ROW($E$4:$J$28)=6-$L11)*$E$4:$J$28)</f>
        <v/>
      </c>
      <c r="N11" s="17" t="n">
        <v>0.0004843057747379626</v>
      </c>
      <c r="O11" s="13" t="n"/>
      <c r="P11" s="12">
        <f>(M11+N11)/2</f>
        <v/>
      </c>
      <c r="Q11" s="1" t="n"/>
      <c r="R11" s="7" t="n"/>
      <c r="S11" s="7" t="n"/>
    </row>
    <row r="12">
      <c r="D12" s="6" t="n">
        <v>8</v>
      </c>
      <c r="E12" s="1">
        <f>IFERROR(HYPGEOMDIST($D12, $B$6, Target-E$1,Deck-Hand)*E$2,0)</f>
        <v/>
      </c>
      <c r="F12" s="1">
        <f>IFERROR(HYPGEOMDIST($D12, $B$6, Target-F$1,Deck-Hand)*F$2,0)</f>
        <v/>
      </c>
      <c r="G12" s="1">
        <f>IFERROR(HYPGEOMDIST($D12, $B$6, Target-G$1,Deck-Hand)*G$2,0)</f>
        <v/>
      </c>
      <c r="H12" s="1">
        <f>IFERROR(HYPGEOMDIST($D12, $B$6, Target-H$1,Deck-Hand)*H$2,0)</f>
        <v/>
      </c>
      <c r="I12" s="1">
        <f>IFERROR(HYPGEOMDIST($D12, $B$6, Target-I$1,Deck-Hand)*I$2,0)</f>
        <v/>
      </c>
      <c r="J12" s="1">
        <f>IFERROR(HYPGEOMDIST($D12, $B$6, Target-J$1,Deck-Hand)*J$2,0)</f>
        <v/>
      </c>
      <c r="L12" s="14" t="n">
        <v>8</v>
      </c>
      <c r="M12" s="11">
        <f t="array" ref="M12">SUM((COLUMN($E$4:$J$28)-ROW($E$4:$J$28)=6-$L12)*$E$4:$J$28)</f>
        <v/>
      </c>
      <c r="N12" s="17" t="n">
        <v>1.902271611710391e-05</v>
      </c>
      <c r="O12" s="13" t="n"/>
      <c r="P12" s="12">
        <f>(M12+N12)/2</f>
        <v/>
      </c>
      <c r="Q12" s="1" t="n"/>
      <c r="R12" s="7" t="n"/>
      <c r="S12" s="7" t="n"/>
    </row>
    <row r="13">
      <c r="D13" s="6" t="n">
        <v>9</v>
      </c>
      <c r="E13" s="1">
        <f>IFERROR(HYPGEOMDIST($D13, $B$6, Target-E$1,Deck-Hand)*E$2,0)</f>
        <v/>
      </c>
      <c r="F13" s="1">
        <f>IFERROR(HYPGEOMDIST($D13, $B$6, Target-F$1,Deck-Hand)*F$2,0)</f>
        <v/>
      </c>
      <c r="G13" s="1">
        <f>IFERROR(HYPGEOMDIST($D13, $B$6, Target-G$1,Deck-Hand)*G$2,0)</f>
        <v/>
      </c>
      <c r="H13" s="1">
        <f>IFERROR(HYPGEOMDIST($D13, $B$6, Target-H$1,Deck-Hand)*H$2,0)</f>
        <v/>
      </c>
      <c r="I13" s="1">
        <f>IFERROR(HYPGEOMDIST($D13, $B$6, Target-I$1,Deck-Hand)*I$2,0)</f>
        <v/>
      </c>
      <c r="J13" s="1">
        <f>IFERROR(HYPGEOMDIST($D13, $B$6, Target-J$1,Deck-Hand)*J$2,0)</f>
        <v/>
      </c>
      <c r="L13" s="14" t="n">
        <v>9</v>
      </c>
      <c r="M13" s="11">
        <f t="array" ref="M13">SUM((COLUMN($E$4:$J$28)-ROW($E$4:$J$28)=6-$L13)*$E$4:$J$28)</f>
        <v/>
      </c>
      <c r="N13" s="17" t="n">
        <v>2.575926785537882e-07</v>
      </c>
      <c r="O13" s="13" t="n"/>
      <c r="P13" s="12">
        <f>(M13+N13)/2</f>
        <v/>
      </c>
      <c r="Q13" s="1" t="n"/>
      <c r="R13" s="7" t="n"/>
      <c r="S13" s="7" t="n"/>
    </row>
    <row r="14">
      <c r="D14" s="6" t="n">
        <v>10</v>
      </c>
      <c r="E14" s="1">
        <f>IFERROR(HYPGEOMDIST($D14, $B$6, Target-E$1,Deck-Hand)*E$2,0)</f>
        <v/>
      </c>
      <c r="F14" s="1">
        <f>IFERROR(HYPGEOMDIST($D14, $B$6, Target-F$1,Deck-Hand)*F$2,0)</f>
        <v/>
      </c>
      <c r="G14" s="1">
        <f>IFERROR(HYPGEOMDIST($D14, $B$6, Target-G$1,Deck-Hand)*G$2,0)</f>
        <v/>
      </c>
      <c r="H14" s="1">
        <f>IFERROR(HYPGEOMDIST($D14, $B$6, Target-H$1,Deck-Hand)*H$2,0)</f>
        <v/>
      </c>
      <c r="I14" s="1">
        <f>IFERROR(HYPGEOMDIST($D14, $B$6, Target-I$1,Deck-Hand)*I$2,0)</f>
        <v/>
      </c>
      <c r="J14" s="1">
        <f>IFERROR(HYPGEOMDIST($D14, $B$6, Target-J$1,Deck-Hand)*J$2,0)</f>
        <v/>
      </c>
      <c r="L14" s="14" t="n">
        <v>10</v>
      </c>
      <c r="M14" s="11">
        <f t="array" ref="M14">SUM((COLUMN($E$4:$J$28)-ROW($E$4:$J$28)=6-$L14)*$E$4:$J$28)</f>
        <v/>
      </c>
      <c r="N14" s="17" t="n">
        <v>0</v>
      </c>
      <c r="O14" s="13" t="n"/>
      <c r="P14" s="12">
        <f>(M14+N14)/2</f>
        <v/>
      </c>
      <c r="Q14" s="1" t="n"/>
      <c r="R14" s="7" t="n"/>
      <c r="S14" s="7" t="n"/>
    </row>
    <row r="15">
      <c r="D15" s="6" t="n">
        <v>11</v>
      </c>
      <c r="E15" s="1">
        <f>IFERROR(HYPGEOMDIST($D15, $B$6, Target-E$1,Deck-Hand)*E$2,0)</f>
        <v/>
      </c>
      <c r="F15" s="1">
        <f>IFERROR(HYPGEOMDIST($D15, $B$6, Target-F$1,Deck-Hand)*F$2,0)</f>
        <v/>
      </c>
      <c r="G15" s="1">
        <f>IFERROR(HYPGEOMDIST($D15, $B$6, Target-G$1,Deck-Hand)*G$2,0)</f>
        <v/>
      </c>
      <c r="H15" s="1">
        <f>IFERROR(HYPGEOMDIST($D15, $B$6, Target-H$1,Deck-Hand)*H$2,0)</f>
        <v/>
      </c>
      <c r="I15" s="1">
        <f>IFERROR(HYPGEOMDIST($D15, $B$6, Target-I$1,Deck-Hand)*I$2,0)</f>
        <v/>
      </c>
      <c r="J15" s="1">
        <f>IFERROR(HYPGEOMDIST($D15, $B$6, Target-J$1,Deck-Hand)*J$2,0)</f>
        <v/>
      </c>
      <c r="L15" s="14" t="n">
        <v>11</v>
      </c>
      <c r="M15" s="11">
        <f t="array" ref="M15">SUM((COLUMN($E$4:$J$28)-ROW($E$4:$J$28)=6-$L15)*$E$4:$J$28)</f>
        <v/>
      </c>
      <c r="N15" s="17" t="n">
        <v>0</v>
      </c>
      <c r="O15" s="13" t="n"/>
      <c r="P15" s="12">
        <f>(M15+N15)/2</f>
        <v/>
      </c>
      <c r="Q15" s="1" t="n"/>
      <c r="R15" s="7" t="n"/>
      <c r="S15" s="7" t="n"/>
    </row>
    <row r="16">
      <c r="D16" s="6" t="n">
        <v>12</v>
      </c>
      <c r="E16" s="1">
        <f>IFERROR(HYPGEOMDIST($D16, $B$6, Target-E$1,Deck-Hand)*E$2,0)</f>
        <v/>
      </c>
      <c r="F16" s="1">
        <f>IFERROR(HYPGEOMDIST($D16, $B$6, Target-F$1,Deck-Hand)*F$2,0)</f>
        <v/>
      </c>
      <c r="G16" s="1">
        <f>IFERROR(HYPGEOMDIST($D16, $B$6, Target-G$1,Deck-Hand)*G$2,0)</f>
        <v/>
      </c>
      <c r="H16" s="1">
        <f>IFERROR(HYPGEOMDIST($D16, $B$6, Target-H$1,Deck-Hand)*H$2,0)</f>
        <v/>
      </c>
      <c r="I16" s="1">
        <f>IFERROR(HYPGEOMDIST($D16, $B$6, Target-I$1,Deck-Hand)*I$2,0)</f>
        <v/>
      </c>
      <c r="J16" s="1">
        <f>IFERROR(HYPGEOMDIST($D16, $B$6, Target-J$1,Deck-Hand)*J$2,0)</f>
        <v/>
      </c>
      <c r="L16" s="14" t="n">
        <v>12</v>
      </c>
      <c r="M16" s="11">
        <f t="array" ref="M16">SUM((COLUMN($E$4:$J$28)-ROW($E$4:$J$28)=6-$L16)*$E$4:$J$28)</f>
        <v/>
      </c>
      <c r="N16" s="17" t="n">
        <v>0</v>
      </c>
      <c r="O16" s="13" t="n"/>
      <c r="P16" s="12">
        <f>(M16+N16)/2</f>
        <v/>
      </c>
      <c r="Q16" s="1" t="n"/>
      <c r="R16" s="7" t="n"/>
      <c r="S16" s="7" t="n"/>
    </row>
    <row r="17">
      <c r="D17" s="6" t="n">
        <v>13</v>
      </c>
      <c r="E17" s="1">
        <f>IFERROR(HYPGEOMDIST($D17, $B$6, Target-E$1,Deck-Hand)*E$2,0)</f>
        <v/>
      </c>
      <c r="F17" s="1">
        <f>IFERROR(HYPGEOMDIST($D17, $B$6, Target-F$1,Deck-Hand)*F$2,0)</f>
        <v/>
      </c>
      <c r="G17" s="1">
        <f>IFERROR(HYPGEOMDIST($D17, $B$6, Target-G$1,Deck-Hand)*G$2,0)</f>
        <v/>
      </c>
      <c r="H17" s="1">
        <f>IFERROR(HYPGEOMDIST($D17, $B$6, Target-H$1,Deck-Hand)*H$2,0)</f>
        <v/>
      </c>
      <c r="I17" s="1">
        <f>IFERROR(HYPGEOMDIST($D17, $B$6, Target-I$1,Deck-Hand)*I$2,0)</f>
        <v/>
      </c>
      <c r="J17" s="1">
        <f>IFERROR(HYPGEOMDIST($D17, $B$6, Target-J$1,Deck-Hand)*J$2,0)</f>
        <v/>
      </c>
      <c r="L17" s="14" t="n">
        <v>13</v>
      </c>
      <c r="M17" s="11">
        <f t="array" ref="M17">SUM((COLUMN($E$4:$J$28)-ROW($E$4:$J$28)=6-$L17)*$E$4:$J$28)</f>
        <v/>
      </c>
      <c r="N17" s="17" t="n">
        <v>0</v>
      </c>
      <c r="O17" s="13" t="n"/>
      <c r="P17" s="12">
        <f>(M17+N17)/2</f>
        <v/>
      </c>
      <c r="Q17" s="1" t="n"/>
      <c r="R17" s="7" t="n"/>
      <c r="S17" s="7" t="n"/>
    </row>
    <row r="18">
      <c r="D18" s="6" t="n">
        <v>14</v>
      </c>
      <c r="E18" s="1">
        <f>IFERROR(HYPGEOMDIST($D18, $B$6, Target-E$1,Deck-Hand)*E$2,0)</f>
        <v/>
      </c>
      <c r="F18" s="1">
        <f>IFERROR(HYPGEOMDIST($D18, $B$6, Target-F$1,Deck-Hand)*F$2,0)</f>
        <v/>
      </c>
      <c r="G18" s="1">
        <f>IFERROR(HYPGEOMDIST($D18, $B$6, Target-G$1,Deck-Hand)*G$2,0)</f>
        <v/>
      </c>
      <c r="H18" s="1">
        <f>IFERROR(HYPGEOMDIST($D18, $B$6, Target-H$1,Deck-Hand)*H$2,0)</f>
        <v/>
      </c>
      <c r="I18" s="1">
        <f>IFERROR(HYPGEOMDIST($D18, $B$6, Target-I$1,Deck-Hand)*I$2,0)</f>
        <v/>
      </c>
      <c r="J18" s="1">
        <f>IFERROR(HYPGEOMDIST($D18, $B$6, Target-J$1,Deck-Hand)*J$2,0)</f>
        <v/>
      </c>
      <c r="L18" s="14" t="n">
        <v>14</v>
      </c>
      <c r="M18" s="11">
        <f t="array" ref="M18">SUM((COLUMN($E$4:$J$28)-ROW($E$4:$J$28)=6-$L18)*$E$4:$J$28)</f>
        <v/>
      </c>
      <c r="N18" s="17" t="n">
        <v>0</v>
      </c>
      <c r="O18" s="13" t="n"/>
      <c r="P18" s="12">
        <f>(M18+N18)/2</f>
        <v/>
      </c>
      <c r="Q18" s="1" t="n"/>
      <c r="R18" s="7" t="n"/>
      <c r="S18" s="7" t="n"/>
    </row>
    <row r="19">
      <c r="D19" s="6" t="n">
        <v>15</v>
      </c>
      <c r="E19" s="1">
        <f>IFERROR(HYPGEOMDIST($D19, $B$6, Target-E$1,Deck-Hand)*E$2,0)</f>
        <v/>
      </c>
      <c r="F19" s="1">
        <f>IFERROR(HYPGEOMDIST($D19, $B$6, Target-F$1,Deck-Hand)*F$2,0)</f>
        <v/>
      </c>
      <c r="G19" s="1">
        <f>IFERROR(HYPGEOMDIST($D19, $B$6, Target-G$1,Deck-Hand)*G$2,0)</f>
        <v/>
      </c>
      <c r="H19" s="1">
        <f>IFERROR(HYPGEOMDIST($D19, $B$6, Target-H$1,Deck-Hand)*H$2,0)</f>
        <v/>
      </c>
      <c r="I19" s="1">
        <f>IFERROR(HYPGEOMDIST($D19, $B$6, Target-I$1,Deck-Hand)*I$2,0)</f>
        <v/>
      </c>
      <c r="J19" s="1">
        <f>IFERROR(HYPGEOMDIST($D19, $B$6, Target-J$1,Deck-Hand)*J$2,0)</f>
        <v/>
      </c>
      <c r="L19" s="14" t="n">
        <v>15</v>
      </c>
      <c r="M19" s="11">
        <f t="array" ref="M19">SUM((COLUMN($E$4:$J$28)-ROW($E$4:$J$28)=6-$L19)*$E$4:$J$28)</f>
        <v/>
      </c>
      <c r="N19" s="17" t="n">
        <v>0</v>
      </c>
      <c r="O19" s="13" t="n"/>
      <c r="P19" s="12">
        <f>(M19+N19)/2</f>
        <v/>
      </c>
      <c r="Q19" s="1" t="n"/>
      <c r="R19" s="7" t="n"/>
      <c r="S19" s="7" t="n"/>
    </row>
    <row r="20">
      <c r="D20" s="6" t="n">
        <v>16</v>
      </c>
      <c r="E20" s="1">
        <f>IFERROR(HYPGEOMDIST($D20, $B$6, Target-E$1,Deck-Hand)*E$2,0)</f>
        <v/>
      </c>
      <c r="F20" s="1">
        <f>IFERROR(HYPGEOMDIST($D20, $B$6, Target-F$1,Deck-Hand)*F$2,0)</f>
        <v/>
      </c>
      <c r="G20" s="1">
        <f>IFERROR(HYPGEOMDIST($D20, $B$6, Target-G$1,Deck-Hand)*G$2,0)</f>
        <v/>
      </c>
      <c r="H20" s="1">
        <f>IFERROR(HYPGEOMDIST($D20, $B$6, Target-H$1,Deck-Hand)*H$2,0)</f>
        <v/>
      </c>
      <c r="I20" s="1">
        <f>IFERROR(HYPGEOMDIST($D20, $B$6, Target-I$1,Deck-Hand)*I$2,0)</f>
        <v/>
      </c>
      <c r="J20" s="1">
        <f>IFERROR(HYPGEOMDIST($D20, $B$6, Target-J$1,Deck-Hand)*J$2,0)</f>
        <v/>
      </c>
      <c r="L20" s="14" t="n">
        <v>16</v>
      </c>
      <c r="M20" s="11">
        <f t="array" ref="M20">SUM((COLUMN($E$4:$J$28)-ROW($E$4:$J$28)=6-$L20)*$E$4:$J$28)</f>
        <v/>
      </c>
      <c r="N20" s="17" t="n">
        <v>0</v>
      </c>
      <c r="O20" s="13" t="n"/>
      <c r="P20" s="12">
        <f>(M20+N20)/2</f>
        <v/>
      </c>
      <c r="Q20" s="1" t="n"/>
      <c r="R20" s="7" t="n"/>
      <c r="S20" s="7" t="n"/>
    </row>
    <row r="21">
      <c r="D21" s="6" t="n">
        <v>17</v>
      </c>
      <c r="E21" s="1">
        <f>IFERROR(HYPGEOMDIST($D21, $B$6, Target-E$1,Deck-Hand)*E$2,0)</f>
        <v/>
      </c>
      <c r="F21" s="1">
        <f>IFERROR(HYPGEOMDIST($D21, $B$6, Target-F$1,Deck-Hand)*F$2,0)</f>
        <v/>
      </c>
      <c r="G21" s="1">
        <f>IFERROR(HYPGEOMDIST($D21, $B$6, Target-G$1,Deck-Hand)*G$2,0)</f>
        <v/>
      </c>
      <c r="H21" s="1">
        <f>IFERROR(HYPGEOMDIST($D21, $B$6, Target-H$1,Deck-Hand)*H$2,0)</f>
        <v/>
      </c>
      <c r="I21" s="1">
        <f>IFERROR(HYPGEOMDIST($D21, $B$6, Target-I$1,Deck-Hand)*I$2,0)</f>
        <v/>
      </c>
      <c r="J21" s="1">
        <f>IFERROR(HYPGEOMDIST($D21, $B$6, Target-J$1,Deck-Hand)*J$2,0)</f>
        <v/>
      </c>
      <c r="L21" s="14" t="n">
        <v>17</v>
      </c>
      <c r="M21" s="11">
        <f t="array" ref="M21">SUM((COLUMN($E$4:$J$28)-ROW($E$4:$J$28)=6-$L21)*$E$4:$J$28)</f>
        <v/>
      </c>
      <c r="N21" s="17" t="n">
        <v>0</v>
      </c>
      <c r="O21" s="13" t="n"/>
      <c r="P21" s="12">
        <f>(M21+N21)/2</f>
        <v/>
      </c>
      <c r="Q21" s="1" t="n"/>
      <c r="R21" s="7" t="n"/>
      <c r="S21" s="7" t="n"/>
    </row>
    <row r="22">
      <c r="D22" s="6" t="n">
        <v>18</v>
      </c>
      <c r="E22" s="1">
        <f>IFERROR(HYPGEOMDIST($D22, $B$6, Target-E$1,Deck-Hand)*E$2,0)</f>
        <v/>
      </c>
      <c r="F22" s="1">
        <f>IFERROR(HYPGEOMDIST($D22, $B$6, Target-F$1,Deck-Hand)*F$2,0)</f>
        <v/>
      </c>
      <c r="G22" s="1">
        <f>IFERROR(HYPGEOMDIST($D22, $B$6, Target-G$1,Deck-Hand)*G$2,0)</f>
        <v/>
      </c>
      <c r="H22" s="1">
        <f>IFERROR(HYPGEOMDIST($D22, $B$6, Target-H$1,Deck-Hand)*H$2,0)</f>
        <v/>
      </c>
      <c r="I22" s="1">
        <f>IFERROR(HYPGEOMDIST($D22, $B$6, Target-I$1,Deck-Hand)*I$2,0)</f>
        <v/>
      </c>
      <c r="J22" s="1">
        <f>IFERROR(HYPGEOMDIST($D22, $B$6, Target-J$1,Deck-Hand)*J$2,0)</f>
        <v/>
      </c>
      <c r="L22" s="14" t="n">
        <v>18</v>
      </c>
      <c r="M22" s="11">
        <f t="array" ref="M22">SUM((COLUMN($E$4:$J$28)-ROW($E$4:$J$28)=6-$L22)*$E$4:$J$28)</f>
        <v/>
      </c>
      <c r="N22" s="17" t="n">
        <v>0</v>
      </c>
      <c r="O22" s="13" t="n"/>
      <c r="P22" s="12">
        <f>(M22+N22)/2</f>
        <v/>
      </c>
      <c r="Q22" s="1" t="n"/>
      <c r="R22" s="7" t="n"/>
      <c r="S22" s="7" t="n"/>
    </row>
    <row r="23">
      <c r="D23" s="6" t="n">
        <v>19</v>
      </c>
      <c r="E23" s="1">
        <f>IFERROR(HYPGEOMDIST($D23, $B$6, Target-E$1,Deck-Hand)*E$2,0)</f>
        <v/>
      </c>
      <c r="F23" s="1">
        <f>IFERROR(HYPGEOMDIST($D23, $B$6, Target-F$1,Deck-Hand)*F$2,0)</f>
        <v/>
      </c>
      <c r="G23" s="1">
        <f>IFERROR(HYPGEOMDIST($D23, $B$6, Target-G$1,Deck-Hand)*G$2,0)</f>
        <v/>
      </c>
      <c r="H23" s="1">
        <f>IFERROR(HYPGEOMDIST($D23, $B$6, Target-H$1,Deck-Hand)*H$2,0)</f>
        <v/>
      </c>
      <c r="I23" s="1">
        <f>IFERROR(HYPGEOMDIST($D23, $B$6, Target-I$1,Deck-Hand)*I$2,0)</f>
        <v/>
      </c>
      <c r="J23" s="1">
        <f>IFERROR(HYPGEOMDIST($D23, $B$6, Target-J$1,Deck-Hand)*J$2,0)</f>
        <v/>
      </c>
      <c r="L23" s="14" t="n">
        <v>19</v>
      </c>
      <c r="M23" s="11">
        <f t="array" ref="M23">SUM((COLUMN($E$4:$J$28)-ROW($E$4:$J$28)=6-$L23)*$E$4:$J$28)</f>
        <v/>
      </c>
      <c r="N23" s="17" t="n">
        <v>0</v>
      </c>
      <c r="O23" s="13" t="n"/>
      <c r="P23" s="12">
        <f>(M23+N23)/2</f>
        <v/>
      </c>
      <c r="Q23" s="1" t="n"/>
      <c r="R23" s="7" t="n"/>
      <c r="S23" s="7" t="n"/>
    </row>
    <row r="24">
      <c r="D24" s="6" t="n">
        <v>20</v>
      </c>
      <c r="E24" s="1">
        <f>IFERROR(HYPGEOMDIST($D24, $B$6, Target-E$1,Deck-Hand)*E$2,0)</f>
        <v/>
      </c>
      <c r="F24" s="1">
        <f>IFERROR(HYPGEOMDIST($D24, $B$6, Target-F$1,Deck-Hand)*F$2,0)</f>
        <v/>
      </c>
      <c r="G24" s="1">
        <f>IFERROR(HYPGEOMDIST($D24, $B$6, Target-G$1,Deck-Hand)*G$2,0)</f>
        <v/>
      </c>
      <c r="H24" s="1">
        <f>IFERROR(HYPGEOMDIST($D24, $B$6, Target-H$1,Deck-Hand)*H$2,0)</f>
        <v/>
      </c>
      <c r="I24" s="1">
        <f>IFERROR(HYPGEOMDIST($D24, $B$6, Target-I$1,Deck-Hand)*I$2,0)</f>
        <v/>
      </c>
      <c r="J24" s="1">
        <f>IFERROR(HYPGEOMDIST($D24, $B$6, Target-J$1,Deck-Hand)*J$2,0)</f>
        <v/>
      </c>
      <c r="L24" s="14" t="n">
        <v>20</v>
      </c>
      <c r="M24" s="11">
        <f t="array" ref="M24">SUM((COLUMN($E$4:$J$28)-ROW($E$4:$J$28)=6-$L24)*$E$4:$J$28)</f>
        <v/>
      </c>
      <c r="N24" s="17" t="n">
        <v>0</v>
      </c>
      <c r="O24" s="13" t="n"/>
      <c r="P24" s="12">
        <f>(M24+N24)/2</f>
        <v/>
      </c>
      <c r="Q24" s="1" t="n"/>
      <c r="R24" s="1" t="n"/>
      <c r="S24" s="7" t="n"/>
    </row>
    <row r="25">
      <c r="P25" s="1" t="n"/>
      <c r="Q25" s="1" t="n"/>
      <c r="R25" s="1" t="n"/>
      <c r="S25" s="7" t="n"/>
    </row>
    <row r="26">
      <c r="P26" s="1" t="n"/>
      <c r="Q26" s="1" t="n"/>
      <c r="R26" s="1" t="n"/>
      <c r="S26" s="7" t="n"/>
      <c r="U26" s="7" t="n"/>
    </row>
    <row r="27">
      <c r="P27" s="1" t="n"/>
      <c r="Q27" s="1" t="n"/>
      <c r="R27" s="1" t="n"/>
      <c r="S27" s="7" t="n"/>
      <c r="U27" s="7" t="n"/>
    </row>
    <row r="28">
      <c r="P28" s="1" t="n"/>
      <c r="Q28" s="1" t="n"/>
      <c r="R28" s="1" t="n"/>
      <c r="S28" s="7" t="n"/>
      <c r="U28" s="7" t="n"/>
    </row>
    <row r="29">
      <c r="U29" s="7" t="n"/>
    </row>
    <row r="30">
      <c r="U30" s="7" t="n"/>
    </row>
    <row r="31">
      <c r="U31" s="7" t="n"/>
    </row>
    <row r="32">
      <c r="U32" s="7" t="n"/>
    </row>
    <row r="33">
      <c r="U33" s="7" t="n"/>
    </row>
  </sheetData>
  <mergeCells count="1">
    <mergeCell ref="L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3"/>
  <sheetViews>
    <sheetView tabSelected="1" topLeftCell="D1" workbookViewId="0">
      <selection activeCell="P6" sqref="P6"/>
    </sheetView>
  </sheetViews>
  <sheetFormatPr baseColWidth="8" defaultRowHeight="14.5"/>
  <cols>
    <col width="8.6328125" customWidth="1" style="20" min="5" max="10"/>
    <col width="3.6328125" customWidth="1" style="20" min="12" max="12"/>
    <col width="8.6328125" customWidth="1" style="20" min="13" max="14"/>
    <col width="3.6328125" customWidth="1" style="20" min="15" max="15"/>
    <col width="8.6328125" customWidth="1" style="20" min="16" max="19"/>
    <col width="8.7265625" customWidth="1" style="20" min="20" max="23"/>
  </cols>
  <sheetData>
    <row r="1">
      <c r="A1" s="4" t="inlineStr">
        <is>
          <t>Target</t>
        </is>
      </c>
      <c r="B1" t="n">
        <v>4</v>
      </c>
      <c r="D1" s="5" t="inlineStr">
        <is>
          <t>Opening</t>
        </is>
      </c>
      <c r="E1" s="5" t="n">
        <v>5</v>
      </c>
      <c r="F1" s="5" t="n">
        <v>4</v>
      </c>
      <c r="G1" s="5" t="n">
        <v>3</v>
      </c>
      <c r="H1" s="5" t="n">
        <v>2</v>
      </c>
      <c r="I1" s="5" t="n">
        <v>1</v>
      </c>
      <c r="J1" s="5" t="n">
        <v>0</v>
      </c>
      <c r="L1" s="19" t="inlineStr">
        <is>
          <t>Average</t>
        </is>
      </c>
      <c r="N1" s="9">
        <f>SUMPRODUCT(L4:L28,M4:M28)</f>
        <v/>
      </c>
      <c r="O1" s="10" t="inlineStr">
        <is>
          <t>/</t>
        </is>
      </c>
      <c r="P1" s="9">
        <f>SUMPRODUCT(L4:L28,P4:P28)</f>
        <v/>
      </c>
    </row>
    <row r="2">
      <c r="A2" s="3" t="inlineStr">
        <is>
          <t>Return</t>
        </is>
      </c>
      <c r="B2" s="8" t="n">
        <v>16</v>
      </c>
      <c r="D2" s="5" t="inlineStr">
        <is>
          <t>Hand</t>
        </is>
      </c>
      <c r="E2" s="1">
        <f t="array" ref="E2">SUM(_xlfn.MAKEARRAY(1,6,_xlfn.LAMBDA(_xlpm.targets,_xlpm.triggers,IFERROR(HYPGEOMDIST(E$1,$B$3,$B$1,$B$4 - _xlpm.triggers)*HYPGEOMDIST(_xlpm.triggers,$B$3,$B$2,$B$4),0))))</f>
        <v/>
      </c>
      <c r="F2" s="1">
        <f t="array" ref="F2">SUM(_xlfn.MAKEARRAY(1,6,_xlfn.LAMBDA(_xlpm.targets,_xlpm.triggers,IFERROR(HYPGEOMDIST(F$1,$B$3,$B$1,$B$4 - _xlpm.triggers)*HYPGEOMDIST(_xlpm.triggers,$B$3,$B$2,$B$4),0))))</f>
        <v/>
      </c>
      <c r="G2" s="1">
        <f t="array" ref="G2">SUM(_xlfn.MAKEARRAY(1,6,_xlfn.LAMBDA(_xlpm.targets,_xlpm.triggers,IFERROR(HYPGEOMDIST(G$1,$B$3,$B$1,$B$4 - _xlpm.triggers)*HYPGEOMDIST(_xlpm.triggers,$B$3,$B$2,$B$4),0))))</f>
        <v/>
      </c>
      <c r="H2" s="1">
        <f t="array" ref="H2">SUM(_xlfn.MAKEARRAY(1,6,_xlfn.LAMBDA(_xlpm.targets,_xlpm.triggers,IFERROR(HYPGEOMDIST(H$1,$B$3,$B$1,$B$4 - _xlpm.triggers)*HYPGEOMDIST(_xlpm.triggers,$B$3,$B$2,$B$4),0))))</f>
        <v/>
      </c>
      <c r="I2" s="1">
        <f t="array" ref="I2">SUM(_xlfn.MAKEARRAY(1,6,_xlfn.LAMBDA(_xlpm.targets,_xlpm.triggers,IFERROR(HYPGEOMDIST(I$1,$B$3,$B$1,$B$4 - _xlpm.triggers)*HYPGEOMDIST(_xlpm.triggers,$B$3,$B$2,$B$4),0))))</f>
        <v/>
      </c>
      <c r="J2" s="1">
        <f t="array" ref="J2">SUM(_xlfn.MAKEARRAY(1,6,_xlfn.LAMBDA(_xlpm.targets,_xlpm.triggers,IFERROR(HYPGEOMDIST(J$1,$B$3,$B$1,$B$4 - _xlpm.triggers)*HYPGEOMDIST(_xlpm.triggers,$B$3,$B$2,$B$4),0))))</f>
        <v/>
      </c>
      <c r="K2" s="1" t="n"/>
      <c r="R2" s="1">
        <f t="array" ref="R2:W7">_xlfn.MAKEARRAY(6,6,_xlfn.LAMBDA(_xlpm.targets,_xlpm.triggers,IFERROR(HYPGEOMDIST(_xlpm.targets - 1,4+_xlpm.triggers,$B$1,50)*HYPGEOMDIST(_xlpm.triggers - 1,5,16,50),0)))</f>
        <v/>
      </c>
      <c r="S2" t="n">
        <v>0.2064337035810531</v>
      </c>
      <c r="T2" s="7" t="n">
        <v>0.1816132289569383</v>
      </c>
      <c r="U2" t="n">
        <v>0.07206455160645958</v>
      </c>
      <c r="V2" t="n">
        <v>0.01284267261673556</v>
      </c>
      <c r="W2" t="n">
        <v>0.0008180985138924805</v>
      </c>
      <c r="X2" s="21">
        <f>SUM(R2:W2)</f>
        <v/>
      </c>
    </row>
    <row r="3">
      <c r="A3" s="2" t="inlineStr">
        <is>
          <t>Hand</t>
        </is>
      </c>
      <c r="B3" t="n">
        <v>5</v>
      </c>
      <c r="D3" s="6" t="n"/>
      <c r="E3" s="6" t="n"/>
      <c r="F3" s="6" t="n"/>
      <c r="G3" s="6" t="n"/>
      <c r="H3" s="6" t="n"/>
      <c r="I3" s="6" t="n"/>
      <c r="J3" s="6" t="n"/>
      <c r="L3" s="14" t="inlineStr">
        <is>
          <t>#</t>
        </is>
      </c>
      <c r="M3" s="15" t="inlineStr">
        <is>
          <t>1st</t>
        </is>
      </c>
      <c r="N3" s="15" t="inlineStr">
        <is>
          <t>2nd</t>
        </is>
      </c>
      <c r="O3" s="16" t="inlineStr">
        <is>
          <t>/</t>
        </is>
      </c>
      <c r="P3" s="15" t="inlineStr">
        <is>
          <t>Both</t>
        </is>
      </c>
      <c r="R3" s="1" t="n">
        <v>0.04045956733949213</v>
      </c>
      <c r="S3" s="7" t="n">
        <v>0.1208392411206164</v>
      </c>
      <c r="T3" s="7" t="n">
        <v>0.1271292602698567</v>
      </c>
      <c r="U3" t="n">
        <v>0.05912988849760784</v>
      </c>
      <c r="V3" t="n">
        <v>0.01216674247901264</v>
      </c>
      <c r="W3" t="n">
        <v>0.0008844308258297084</v>
      </c>
      <c r="X3" s="21">
        <f>SUM(R3:W3)</f>
        <v/>
      </c>
    </row>
    <row r="4">
      <c r="A4" s="2" t="inlineStr">
        <is>
          <t>Deck</t>
        </is>
      </c>
      <c r="B4" t="n">
        <v>50</v>
      </c>
      <c r="D4" s="6" t="n">
        <v>0</v>
      </c>
      <c r="E4" s="1">
        <f>IFERROR(HYPGEOMDIST($D4, $B$6, Target-E$1,Deck-Hand)*E$2,0)</f>
        <v/>
      </c>
      <c r="F4" s="1">
        <f>IFERROR(HYPGEOMDIST($D4, $B$6, Target-F$1,Deck-Hand)*F$2,0)</f>
        <v/>
      </c>
      <c r="G4" s="1">
        <f>IFERROR(HYPGEOMDIST($D4, $B$6, Target-G$1,Deck-Hand)*G$2,0)</f>
        <v/>
      </c>
      <c r="H4" s="1">
        <f>IFERROR(HYPGEOMDIST($D4, $B$6, Target-H$1,Deck-Hand)*H$2,0)</f>
        <v/>
      </c>
      <c r="I4" s="1">
        <f>IFERROR(HYPGEOMDIST($D4, $B$6, Target-I$1,Deck-Hand)*I$2,0)</f>
        <v/>
      </c>
      <c r="J4" s="1">
        <f>IFERROR(HYPGEOMDIST($D4, $B$6, Target-J$1,Deck-Hand)*J$2,0)</f>
        <v/>
      </c>
      <c r="L4" s="14" t="n">
        <v>0</v>
      </c>
      <c r="M4" s="11">
        <f t="array" ref="M4">SUM((COLUMN($E$4:$J$28)-ROW($E$4:$J$28)=6-$L4)*$E$4:$J$28)</f>
        <v/>
      </c>
      <c r="N4" s="17" t="n">
        <v>0.04293762785669348</v>
      </c>
      <c r="O4" s="13" t="n"/>
      <c r="P4" s="12">
        <f>(M4+N4)/2</f>
        <v/>
      </c>
      <c r="Q4" s="1" t="n"/>
      <c r="R4" s="1" t="n">
        <v>0.005645521024115182</v>
      </c>
      <c r="S4" s="7" t="n">
        <v>0.02157843591439579</v>
      </c>
      <c r="T4" s="7" t="n">
        <v>0.02790642298606614</v>
      </c>
      <c r="U4" t="n">
        <v>0.01552159573062204</v>
      </c>
      <c r="V4" t="n">
        <v>0.003743613070465427</v>
      </c>
      <c r="W4" t="n">
        <v>0.0003142056881237123</v>
      </c>
      <c r="X4" s="21">
        <f>SUM(R4:W4)</f>
        <v/>
      </c>
    </row>
    <row r="5">
      <c r="D5" s="6" t="n">
        <v>1</v>
      </c>
      <c r="E5" s="1">
        <f>IFERROR(HYPGEOMDIST($D5, $B$6, Target-E$1,Deck-Hand)*E$2,0)</f>
        <v/>
      </c>
      <c r="F5" s="1">
        <f>IFERROR(HYPGEOMDIST($D5, $B$6, Target-F$1,Deck-Hand)*F$2,0)</f>
        <v/>
      </c>
      <c r="G5" s="1">
        <f>IFERROR(HYPGEOMDIST($D5, $B$6, Target-G$1,Deck-Hand)*G$2,0)</f>
        <v/>
      </c>
      <c r="H5" s="1">
        <f>IFERROR(HYPGEOMDIST($D5, $B$6, Target-H$1,Deck-Hand)*H$2,0)</f>
        <v/>
      </c>
      <c r="I5" s="1">
        <f>IFERROR(HYPGEOMDIST($D5, $B$6, Target-I$1,Deck-Hand)*I$2,0)</f>
        <v/>
      </c>
      <c r="J5" s="1">
        <f>IFERROR(HYPGEOMDIST($D5, $B$6, Target-J$1,Deck-Hand)*J$2,0)</f>
        <v/>
      </c>
      <c r="L5" s="14" t="n">
        <v>1</v>
      </c>
      <c r="M5" s="11">
        <f t="array" ref="M5">SUM((COLUMN($E$4:$J$28)-ROW($E$4:$J$28)=6-$L5)*$E$4:$J$28)</f>
        <v/>
      </c>
      <c r="N5" s="17" t="n">
        <v>0.1865231949405723</v>
      </c>
      <c r="O5" s="13" t="n"/>
      <c r="P5" s="12">
        <f>(M5+N5)/2</f>
        <v/>
      </c>
      <c r="Q5" s="1" t="n"/>
      <c r="R5" s="1" t="n">
        <v>0.0002566145920052354</v>
      </c>
      <c r="S5" s="7" t="n">
        <v>0.00133819757608656</v>
      </c>
      <c r="T5" s="7" t="n">
        <v>0.002214795475084613</v>
      </c>
      <c r="U5" t="n">
        <v>0.001514302022499716</v>
      </c>
      <c r="V5" t="n">
        <v>0.0004367548582209662</v>
      </c>
      <c r="W5" t="n">
        <v>4.29682992305931e-05</v>
      </c>
      <c r="X5" s="21">
        <f>SUM(R5:W5)</f>
        <v/>
      </c>
    </row>
    <row r="6">
      <c r="A6" s="2" t="inlineStr">
        <is>
          <t>Draws</t>
        </is>
      </c>
      <c r="B6" t="n">
        <v>4</v>
      </c>
      <c r="D6" s="6" t="n">
        <v>2</v>
      </c>
      <c r="E6" s="1">
        <f>IFERROR(HYPGEOMDIST($D6, $B$6, Target-E$1,Deck-Hand)*E$2,0)</f>
        <v/>
      </c>
      <c r="F6" s="1">
        <f>IFERROR(HYPGEOMDIST($D6, $B$6, Target-F$1,Deck-Hand)*F$2,0)</f>
        <v/>
      </c>
      <c r="G6" s="1">
        <f>IFERROR(HYPGEOMDIST($D6, $B$6, Target-G$1,Deck-Hand)*G$2,0)</f>
        <v/>
      </c>
      <c r="H6" s="1">
        <f>IFERROR(HYPGEOMDIST($D6, $B$6, Target-H$1,Deck-Hand)*H$2,0)</f>
        <v/>
      </c>
      <c r="I6" s="1">
        <f>IFERROR(HYPGEOMDIST($D6, $B$6, Target-I$1,Deck-Hand)*I$2,0)</f>
        <v/>
      </c>
      <c r="J6" s="1">
        <f>IFERROR(HYPGEOMDIST($D6, $B$6, Target-J$1,Deck-Hand)*J$2,0)</f>
        <v/>
      </c>
      <c r="L6" s="14" t="n">
        <v>2</v>
      </c>
      <c r="M6" s="11">
        <f t="array" ref="M6">SUM((COLUMN($E$4:$J$28)-ROW($E$4:$J$28)=6-$L6)*$E$4:$J$28)</f>
        <v/>
      </c>
      <c r="N6" s="17" t="n">
        <v>0.3174397965480525</v>
      </c>
      <c r="O6" s="13" t="n"/>
      <c r="P6" s="12">
        <f>(M6+N6)/2</f>
        <v/>
      </c>
      <c r="Q6" s="1" t="n"/>
      <c r="R6" s="7" t="n">
        <v>2.851273244502615e-06</v>
      </c>
      <c r="S6" s="7" t="n">
        <v>2.281018595602091e-05</v>
      </c>
      <c r="T6" s="7" t="n">
        <v>5.150687151359562e-05</v>
      </c>
      <c r="U6" t="n">
        <v>4.506851257439618e-05</v>
      </c>
      <c r="V6" t="n">
        <v>1.597883627637684e-05</v>
      </c>
      <c r="W6" t="n">
        <v>1.87986309133845e-06</v>
      </c>
      <c r="X6" s="21">
        <f>SUM(R6:W6)</f>
        <v/>
      </c>
    </row>
    <row r="7">
      <c r="B7" t="inlineStr">
        <is>
          <t xml:space="preserve"> </t>
        </is>
      </c>
      <c r="D7" s="6" t="n">
        <v>3</v>
      </c>
      <c r="E7" s="1">
        <f>IFERROR(HYPGEOMDIST($D7, $B$6, Target-E$1,Deck-Hand)*E$2,0)</f>
        <v/>
      </c>
      <c r="F7" s="1">
        <f>IFERROR(HYPGEOMDIST($D7, $B$6, Target-F$1,Deck-Hand)*F$2,0)</f>
        <v/>
      </c>
      <c r="G7" s="1">
        <f>IFERROR(HYPGEOMDIST($D7, $B$6, Target-G$1,Deck-Hand)*G$2,0)</f>
        <v/>
      </c>
      <c r="H7" s="1">
        <f>IFERROR(HYPGEOMDIST($D7, $B$6, Target-H$1,Deck-Hand)*H$2,0)</f>
        <v/>
      </c>
      <c r="I7" s="1">
        <f>IFERROR(HYPGEOMDIST($D7, $B$6, Target-I$1,Deck-Hand)*I$2,0)</f>
        <v/>
      </c>
      <c r="J7" s="1">
        <f>IFERROR(HYPGEOMDIST($D7, $B$6, Target-J$1,Deck-Hand)*J$2,0)</f>
        <v/>
      </c>
      <c r="L7" s="14" t="n">
        <v>3</v>
      </c>
      <c r="M7" s="11">
        <f t="array" ref="M7">SUM((COLUMN($E$4:$J$28)-ROW($E$4:$J$28)=6-$L7)*$E$4:$J$28)</f>
        <v/>
      </c>
      <c r="N7" s="17" t="n">
        <v>0.2758945030181038</v>
      </c>
      <c r="O7" s="13" t="n"/>
      <c r="P7" s="12">
        <f>(M7+N7)/2</f>
        <v/>
      </c>
      <c r="Q7" s="1" t="n"/>
      <c r="R7" s="7" t="n">
        <v>0</v>
      </c>
      <c r="S7" s="7" t="n">
        <v>0</v>
      </c>
      <c r="T7" t="n">
        <v>0</v>
      </c>
      <c r="U7" t="n">
        <v>0</v>
      </c>
      <c r="V7" t="n">
        <v>0</v>
      </c>
      <c r="W7" t="n">
        <v>0</v>
      </c>
      <c r="X7" s="21">
        <f>SUM(R7:W7)</f>
        <v/>
      </c>
    </row>
    <row r="8">
      <c r="D8" s="6" t="n">
        <v>4</v>
      </c>
      <c r="E8" s="1">
        <f>IFERROR(HYPGEOMDIST($D8, $B$6, Target-E$1,Deck-Hand)*E$2,0)</f>
        <v/>
      </c>
      <c r="F8" s="1">
        <f>IFERROR(HYPGEOMDIST($D8, $B$6, Target-F$1,Deck-Hand)*F$2,0)</f>
        <v/>
      </c>
      <c r="G8" s="1">
        <f>IFERROR(HYPGEOMDIST($D8, $B$6, Target-G$1,Deck-Hand)*G$2,0)</f>
        <v/>
      </c>
      <c r="H8" s="1">
        <f>IFERROR(HYPGEOMDIST($D8, $B$6, Target-H$1,Deck-Hand)*H$2,0)</f>
        <v/>
      </c>
      <c r="I8" s="1">
        <f>IFERROR(HYPGEOMDIST($D8, $B$6, Target-I$1,Deck-Hand)*I$2,0)</f>
        <v/>
      </c>
      <c r="J8" s="1">
        <f>IFERROR(HYPGEOMDIST($D8, $B$6, Target-J$1,Deck-Hand)*J$2,0)</f>
        <v/>
      </c>
      <c r="L8" s="14" t="n">
        <v>4</v>
      </c>
      <c r="M8" s="11">
        <f t="array" ref="M8">SUM((COLUMN($E$4:$J$28)-ROW($E$4:$J$28)=6-$L8)*$E$4:$J$28)</f>
        <v/>
      </c>
      <c r="N8" s="17" t="n">
        <v>0.1337802136298344</v>
      </c>
      <c r="O8" s="13" t="n"/>
      <c r="P8" s="12">
        <f>(M8+N8)/2</f>
        <v/>
      </c>
      <c r="Q8" s="1" t="n"/>
      <c r="R8" s="7" t="n"/>
      <c r="S8" s="7" t="n"/>
    </row>
    <row r="9">
      <c r="D9" s="6" t="n">
        <v>5</v>
      </c>
      <c r="E9" s="1">
        <f>IFERROR(HYPGEOMDIST($D9, $B$6, Target-E$1,Deck-Hand)*E$2,0)</f>
        <v/>
      </c>
      <c r="F9" s="1">
        <f>IFERROR(HYPGEOMDIST($D9, $B$6, Target-F$1,Deck-Hand)*F$2,0)</f>
        <v/>
      </c>
      <c r="G9" s="1">
        <f>IFERROR(HYPGEOMDIST($D9, $B$6, Target-G$1,Deck-Hand)*G$2,0)</f>
        <v/>
      </c>
      <c r="H9" s="1">
        <f>IFERROR(HYPGEOMDIST($D9, $B$6, Target-H$1,Deck-Hand)*H$2,0)</f>
        <v/>
      </c>
      <c r="I9" s="1">
        <f>IFERROR(HYPGEOMDIST($D9, $B$6, Target-I$1,Deck-Hand)*I$2,0)</f>
        <v/>
      </c>
      <c r="J9" s="1">
        <f>IFERROR(HYPGEOMDIST($D9, $B$6, Target-J$1,Deck-Hand)*J$2,0)</f>
        <v/>
      </c>
      <c r="L9" s="14" t="n">
        <v>5</v>
      </c>
      <c r="M9" s="11">
        <f t="array" ref="M9">SUM((COLUMN($E$4:$J$28)-ROW($E$4:$J$28)=6-$L9)*$E$4:$J$28)</f>
        <v/>
      </c>
      <c r="N9" s="17" t="n">
        <v>0.03711499432967311</v>
      </c>
      <c r="O9" s="13" t="n"/>
      <c r="P9" s="12">
        <f>(M9+N9)/2</f>
        <v/>
      </c>
      <c r="Q9" s="1" t="n"/>
      <c r="R9" s="7" t="n"/>
      <c r="S9" s="7" t="n"/>
    </row>
    <row r="10">
      <c r="D10" s="6" t="n">
        <v>6</v>
      </c>
      <c r="E10" s="1">
        <f>IFERROR(HYPGEOMDIST($D10, $B$6, Target-E$1,Deck-Hand)*E$2,0)</f>
        <v/>
      </c>
      <c r="F10" s="1">
        <f>IFERROR(HYPGEOMDIST($D10, $B$6, Target-F$1,Deck-Hand)*F$2,0)</f>
        <v/>
      </c>
      <c r="G10" s="1">
        <f>IFERROR(HYPGEOMDIST($D10, $B$6, Target-G$1,Deck-Hand)*G$2,0)</f>
        <v/>
      </c>
      <c r="H10" s="1">
        <f>IFERROR(HYPGEOMDIST($D10, $B$6, Target-H$1,Deck-Hand)*H$2,0)</f>
        <v/>
      </c>
      <c r="I10" s="1">
        <f>IFERROR(HYPGEOMDIST($D10, $B$6, Target-I$1,Deck-Hand)*I$2,0)</f>
        <v/>
      </c>
      <c r="J10" s="1">
        <f>IFERROR(HYPGEOMDIST($D10, $B$6, Target-J$1,Deck-Hand)*J$2,0)</f>
        <v/>
      </c>
      <c r="L10" s="14" t="n">
        <v>6</v>
      </c>
      <c r="M10" s="11">
        <f t="array" ref="M10">SUM((COLUMN($E$4:$J$28)-ROW($E$4:$J$28)=6-$L10)*$E$4:$J$28)</f>
        <v/>
      </c>
      <c r="N10" s="17" t="n">
        <v>0.005806083593536859</v>
      </c>
      <c r="O10" s="13" t="n"/>
      <c r="P10" s="12">
        <f>(M10+N10)/2</f>
        <v/>
      </c>
      <c r="Q10" s="1" t="n"/>
      <c r="R10" s="7" t="n"/>
      <c r="S10" s="7" t="n"/>
    </row>
    <row r="11">
      <c r="D11" s="6" t="n">
        <v>7</v>
      </c>
      <c r="E11" s="1">
        <f>IFERROR(HYPGEOMDIST($D11, $B$6, Target-E$1,Deck-Hand)*E$2,0)</f>
        <v/>
      </c>
      <c r="F11" s="1">
        <f>IFERROR(HYPGEOMDIST($D11, $B$6, Target-F$1,Deck-Hand)*F$2,0)</f>
        <v/>
      </c>
      <c r="G11" s="1">
        <f>IFERROR(HYPGEOMDIST($D11, $B$6, Target-G$1,Deck-Hand)*G$2,0)</f>
        <v/>
      </c>
      <c r="H11" s="1">
        <f>IFERROR(HYPGEOMDIST($D11, $B$6, Target-H$1,Deck-Hand)*H$2,0)</f>
        <v/>
      </c>
      <c r="I11" s="1">
        <f>IFERROR(HYPGEOMDIST($D11, $B$6, Target-I$1,Deck-Hand)*I$2,0)</f>
        <v/>
      </c>
      <c r="J11" s="1">
        <f>IFERROR(HYPGEOMDIST($D11, $B$6, Target-J$1,Deck-Hand)*J$2,0)</f>
        <v/>
      </c>
      <c r="L11" s="14" t="n">
        <v>7</v>
      </c>
      <c r="M11" s="11">
        <f t="array" ref="M11">SUM((COLUMN($E$4:$J$28)-ROW($E$4:$J$28)=6-$L11)*$E$4:$J$28)</f>
        <v/>
      </c>
      <c r="N11" s="17" t="n">
        <v>0.0004843057747379626</v>
      </c>
      <c r="O11" s="13" t="n"/>
      <c r="P11" s="12">
        <f>(M11+N11)/2</f>
        <v/>
      </c>
      <c r="Q11" s="1" t="n"/>
      <c r="R11" s="7">
        <f t="array" ref="R11:W16">_xlfn.MAKEARRAY(6, 6, _xlfn.LAMBDA(_xlpm.x,_xlpm.y, "("&amp;_xlpm.x-1&amp;","&amp;_xlpm.y-1&amp;")"))</f>
        <v/>
      </c>
      <c r="S11" s="7" t="inlineStr">
        <is>
          <t>(0,1)</t>
        </is>
      </c>
      <c r="T11" t="inlineStr">
        <is>
          <t>(0,2)</t>
        </is>
      </c>
      <c r="U11" t="inlineStr">
        <is>
          <t>(0,3)</t>
        </is>
      </c>
      <c r="V11" t="inlineStr">
        <is>
          <t>(0,4)</t>
        </is>
      </c>
      <c r="W11" t="inlineStr">
        <is>
          <t>(0,5)</t>
        </is>
      </c>
    </row>
    <row r="12">
      <c r="D12" s="6" t="n">
        <v>8</v>
      </c>
      <c r="E12" s="1">
        <f>IFERROR(HYPGEOMDIST($D12, $B$6, Target-E$1,Deck-Hand)*E$2,0)</f>
        <v/>
      </c>
      <c r="F12" s="1">
        <f>IFERROR(HYPGEOMDIST($D12, $B$6, Target-F$1,Deck-Hand)*F$2,0)</f>
        <v/>
      </c>
      <c r="G12" s="1">
        <f>IFERROR(HYPGEOMDIST($D12, $B$6, Target-G$1,Deck-Hand)*G$2,0)</f>
        <v/>
      </c>
      <c r="H12" s="1">
        <f>IFERROR(HYPGEOMDIST($D12, $B$6, Target-H$1,Deck-Hand)*H$2,0)</f>
        <v/>
      </c>
      <c r="I12" s="1">
        <f>IFERROR(HYPGEOMDIST($D12, $B$6, Target-I$1,Deck-Hand)*I$2,0)</f>
        <v/>
      </c>
      <c r="J12" s="1">
        <f>IFERROR(HYPGEOMDIST($D12, $B$6, Target-J$1,Deck-Hand)*J$2,0)</f>
        <v/>
      </c>
      <c r="L12" s="14" t="n">
        <v>8</v>
      </c>
      <c r="M12" s="11">
        <f t="array" ref="M12">SUM((COLUMN($E$4:$J$28)-ROW($E$4:$J$28)=6-$L12)*$E$4:$J$28)</f>
        <v/>
      </c>
      <c r="N12" s="17" t="n">
        <v>1.902271611710391e-05</v>
      </c>
      <c r="O12" s="13" t="n"/>
      <c r="P12" s="12">
        <f>(M12+N12)/2</f>
        <v/>
      </c>
      <c r="Q12" s="1" t="n"/>
      <c r="R12" s="7" t="inlineStr">
        <is>
          <t>(1,0)</t>
        </is>
      </c>
      <c r="S12" s="7" t="inlineStr">
        <is>
          <t>(1,1)</t>
        </is>
      </c>
      <c r="T12" t="inlineStr">
        <is>
          <t>(1,2)</t>
        </is>
      </c>
      <c r="U12" t="inlineStr">
        <is>
          <t>(1,3)</t>
        </is>
      </c>
      <c r="V12" t="inlineStr">
        <is>
          <t>(1,4)</t>
        </is>
      </c>
      <c r="W12" t="inlineStr">
        <is>
          <t>(1,5)</t>
        </is>
      </c>
    </row>
    <row r="13">
      <c r="D13" s="6" t="n">
        <v>9</v>
      </c>
      <c r="E13" s="1">
        <f>IFERROR(HYPGEOMDIST($D13, $B$6, Target-E$1,Deck-Hand)*E$2,0)</f>
        <v/>
      </c>
      <c r="F13" s="1">
        <f>IFERROR(HYPGEOMDIST($D13, $B$6, Target-F$1,Deck-Hand)*F$2,0)</f>
        <v/>
      </c>
      <c r="G13" s="1">
        <f>IFERROR(HYPGEOMDIST($D13, $B$6, Target-G$1,Deck-Hand)*G$2,0)</f>
        <v/>
      </c>
      <c r="H13" s="1">
        <f>IFERROR(HYPGEOMDIST($D13, $B$6, Target-H$1,Deck-Hand)*H$2,0)</f>
        <v/>
      </c>
      <c r="I13" s="1">
        <f>IFERROR(HYPGEOMDIST($D13, $B$6, Target-I$1,Deck-Hand)*I$2,0)</f>
        <v/>
      </c>
      <c r="J13" s="1">
        <f>IFERROR(HYPGEOMDIST($D13, $B$6, Target-J$1,Deck-Hand)*J$2,0)</f>
        <v/>
      </c>
      <c r="L13" s="14" t="n">
        <v>9</v>
      </c>
      <c r="M13" s="11">
        <f t="array" ref="M13">SUM((COLUMN($E$4:$J$28)-ROW($E$4:$J$28)=6-$L13)*$E$4:$J$28)</f>
        <v/>
      </c>
      <c r="N13" s="17" t="n">
        <v>2.575926785537882e-07</v>
      </c>
      <c r="O13" s="13" t="n"/>
      <c r="P13" s="12">
        <f>(M13+N13)/2</f>
        <v/>
      </c>
      <c r="Q13" s="1" t="n"/>
      <c r="R13" s="7" t="inlineStr">
        <is>
          <t>(2,0)</t>
        </is>
      </c>
      <c r="S13" s="7" t="inlineStr">
        <is>
          <t>(2,1)</t>
        </is>
      </c>
      <c r="T13" t="inlineStr">
        <is>
          <t>(2,2)</t>
        </is>
      </c>
      <c r="U13" t="inlineStr">
        <is>
          <t>(2,3)</t>
        </is>
      </c>
      <c r="V13" t="inlineStr">
        <is>
          <t>(2,4)</t>
        </is>
      </c>
      <c r="W13" t="inlineStr">
        <is>
          <t>(2,5)</t>
        </is>
      </c>
    </row>
    <row r="14">
      <c r="D14" s="6" t="n">
        <v>10</v>
      </c>
      <c r="E14" s="1">
        <f>IFERROR(HYPGEOMDIST($D14, $B$6, Target-E$1,Deck-Hand)*E$2,0)</f>
        <v/>
      </c>
      <c r="F14" s="1">
        <f>IFERROR(HYPGEOMDIST($D14, $B$6, Target-F$1,Deck-Hand)*F$2,0)</f>
        <v/>
      </c>
      <c r="G14" s="1">
        <f>IFERROR(HYPGEOMDIST($D14, $B$6, Target-G$1,Deck-Hand)*G$2,0)</f>
        <v/>
      </c>
      <c r="H14" s="1">
        <f>IFERROR(HYPGEOMDIST($D14, $B$6, Target-H$1,Deck-Hand)*H$2,0)</f>
        <v/>
      </c>
      <c r="I14" s="1">
        <f>IFERROR(HYPGEOMDIST($D14, $B$6, Target-I$1,Deck-Hand)*I$2,0)</f>
        <v/>
      </c>
      <c r="J14" s="1">
        <f>IFERROR(HYPGEOMDIST($D14, $B$6, Target-J$1,Deck-Hand)*J$2,0)</f>
        <v/>
      </c>
      <c r="L14" s="14" t="n">
        <v>10</v>
      </c>
      <c r="M14" s="11">
        <f t="array" ref="M14">SUM((COLUMN($E$4:$J$28)-ROW($E$4:$J$28)=6-$L14)*$E$4:$J$28)</f>
        <v/>
      </c>
      <c r="N14" s="17" t="n">
        <v>0</v>
      </c>
      <c r="O14" s="13" t="n"/>
      <c r="P14" s="12">
        <f>(M14+N14)/2</f>
        <v/>
      </c>
      <c r="Q14" s="1" t="n"/>
      <c r="R14" s="7" t="inlineStr">
        <is>
          <t>(3,0)</t>
        </is>
      </c>
      <c r="S14" s="7" t="inlineStr">
        <is>
          <t>(3,1)</t>
        </is>
      </c>
      <c r="T14" t="inlineStr">
        <is>
          <t>(3,2)</t>
        </is>
      </c>
      <c r="U14" t="inlineStr">
        <is>
          <t>(3,3)</t>
        </is>
      </c>
      <c r="V14" t="inlineStr">
        <is>
          <t>(3,4)</t>
        </is>
      </c>
      <c r="W14" t="inlineStr">
        <is>
          <t>(3,5)</t>
        </is>
      </c>
    </row>
    <row r="15">
      <c r="D15" s="6" t="n">
        <v>11</v>
      </c>
      <c r="E15" s="1">
        <f>IFERROR(HYPGEOMDIST($D15, $B$6, Target-E$1,Deck-Hand)*E$2,0)</f>
        <v/>
      </c>
      <c r="F15" s="1">
        <f>IFERROR(HYPGEOMDIST($D15, $B$6, Target-F$1,Deck-Hand)*F$2,0)</f>
        <v/>
      </c>
      <c r="G15" s="1">
        <f>IFERROR(HYPGEOMDIST($D15, $B$6, Target-G$1,Deck-Hand)*G$2,0)</f>
        <v/>
      </c>
      <c r="H15" s="1">
        <f>IFERROR(HYPGEOMDIST($D15, $B$6, Target-H$1,Deck-Hand)*H$2,0)</f>
        <v/>
      </c>
      <c r="I15" s="1">
        <f>IFERROR(HYPGEOMDIST($D15, $B$6, Target-I$1,Deck-Hand)*I$2,0)</f>
        <v/>
      </c>
      <c r="J15" s="1">
        <f>IFERROR(HYPGEOMDIST($D15, $B$6, Target-J$1,Deck-Hand)*J$2,0)</f>
        <v/>
      </c>
      <c r="L15" s="14" t="n">
        <v>11</v>
      </c>
      <c r="M15" s="11">
        <f t="array" ref="M15">SUM((COLUMN($E$4:$J$28)-ROW($E$4:$J$28)=6-$L15)*$E$4:$J$28)</f>
        <v/>
      </c>
      <c r="N15" s="17" t="n">
        <v>0</v>
      </c>
      <c r="O15" s="13" t="n"/>
      <c r="P15" s="12">
        <f>(M15+N15)/2</f>
        <v/>
      </c>
      <c r="Q15" s="1" t="n"/>
      <c r="R15" s="7" t="inlineStr">
        <is>
          <t>(4,0)</t>
        </is>
      </c>
      <c r="S15" s="7" t="inlineStr">
        <is>
          <t>(4,1)</t>
        </is>
      </c>
      <c r="T15" t="inlineStr">
        <is>
          <t>(4,2)</t>
        </is>
      </c>
      <c r="U15" t="inlineStr">
        <is>
          <t>(4,3)</t>
        </is>
      </c>
      <c r="V15" t="inlineStr">
        <is>
          <t>(4,4)</t>
        </is>
      </c>
      <c r="W15" t="inlineStr">
        <is>
          <t>(4,5)</t>
        </is>
      </c>
    </row>
    <row r="16">
      <c r="D16" s="6" t="n">
        <v>12</v>
      </c>
      <c r="E16" s="1">
        <f>IFERROR(HYPGEOMDIST($D16, $B$6, Target-E$1,Deck-Hand)*E$2,0)</f>
        <v/>
      </c>
      <c r="F16" s="1">
        <f>IFERROR(HYPGEOMDIST($D16, $B$6, Target-F$1,Deck-Hand)*F$2,0)</f>
        <v/>
      </c>
      <c r="G16" s="1">
        <f>IFERROR(HYPGEOMDIST($D16, $B$6, Target-G$1,Deck-Hand)*G$2,0)</f>
        <v/>
      </c>
      <c r="H16" s="1">
        <f>IFERROR(HYPGEOMDIST($D16, $B$6, Target-H$1,Deck-Hand)*H$2,0)</f>
        <v/>
      </c>
      <c r="I16" s="1">
        <f>IFERROR(HYPGEOMDIST($D16, $B$6, Target-I$1,Deck-Hand)*I$2,0)</f>
        <v/>
      </c>
      <c r="J16" s="1">
        <f>IFERROR(HYPGEOMDIST($D16, $B$6, Target-J$1,Deck-Hand)*J$2,0)</f>
        <v/>
      </c>
      <c r="L16" s="14" t="n">
        <v>12</v>
      </c>
      <c r="M16" s="11">
        <f t="array" ref="M16">SUM((COLUMN($E$4:$J$28)-ROW($E$4:$J$28)=6-$L16)*$E$4:$J$28)</f>
        <v/>
      </c>
      <c r="N16" s="17" t="n">
        <v>0</v>
      </c>
      <c r="O16" s="13" t="n"/>
      <c r="P16" s="12">
        <f>(M16+N16)/2</f>
        <v/>
      </c>
      <c r="Q16" s="1" t="n"/>
      <c r="R16" s="7" t="inlineStr">
        <is>
          <t>(5,0)</t>
        </is>
      </c>
      <c r="S16" s="7" t="inlineStr">
        <is>
          <t>(5,1)</t>
        </is>
      </c>
      <c r="T16" t="inlineStr">
        <is>
          <t>(5,2)</t>
        </is>
      </c>
      <c r="U16" t="inlineStr">
        <is>
          <t>(5,3)</t>
        </is>
      </c>
      <c r="V16" t="inlineStr">
        <is>
          <t>(5,4)</t>
        </is>
      </c>
      <c r="W16" t="inlineStr">
        <is>
          <t>(5,5)</t>
        </is>
      </c>
    </row>
    <row r="17">
      <c r="D17" s="6" t="n">
        <v>13</v>
      </c>
      <c r="E17" s="1">
        <f>IFERROR(HYPGEOMDIST($D17, $B$6, Target-E$1,Deck-Hand)*E$2,0)</f>
        <v/>
      </c>
      <c r="F17" s="1">
        <f>IFERROR(HYPGEOMDIST($D17, $B$6, Target-F$1,Deck-Hand)*F$2,0)</f>
        <v/>
      </c>
      <c r="G17" s="1">
        <f>IFERROR(HYPGEOMDIST($D17, $B$6, Target-G$1,Deck-Hand)*G$2,0)</f>
        <v/>
      </c>
      <c r="H17" s="1">
        <f>IFERROR(HYPGEOMDIST($D17, $B$6, Target-H$1,Deck-Hand)*H$2,0)</f>
        <v/>
      </c>
      <c r="I17" s="1">
        <f>IFERROR(HYPGEOMDIST($D17, $B$6, Target-I$1,Deck-Hand)*I$2,0)</f>
        <v/>
      </c>
      <c r="J17" s="1">
        <f>IFERROR(HYPGEOMDIST($D17, $B$6, Target-J$1,Deck-Hand)*J$2,0)</f>
        <v/>
      </c>
      <c r="L17" s="14" t="n">
        <v>13</v>
      </c>
      <c r="M17" s="11">
        <f t="array" ref="M17">SUM((COLUMN($E$4:$J$28)-ROW($E$4:$J$28)=6-$L17)*$E$4:$J$28)</f>
        <v/>
      </c>
      <c r="N17" s="17" t="n">
        <v>0</v>
      </c>
      <c r="O17" s="13" t="n"/>
      <c r="P17" s="12">
        <f>(M17+N17)/2</f>
        <v/>
      </c>
      <c r="Q17" s="1" t="n"/>
      <c r="R17" s="7" t="n"/>
      <c r="S17" s="7" t="n"/>
    </row>
    <row r="18">
      <c r="D18" s="6" t="n">
        <v>14</v>
      </c>
      <c r="E18" s="1">
        <f>IFERROR(HYPGEOMDIST($D18, $B$6, Target-E$1,Deck-Hand)*E$2,0)</f>
        <v/>
      </c>
      <c r="F18" s="1">
        <f>IFERROR(HYPGEOMDIST($D18, $B$6, Target-F$1,Deck-Hand)*F$2,0)</f>
        <v/>
      </c>
      <c r="G18" s="1">
        <f>IFERROR(HYPGEOMDIST($D18, $B$6, Target-G$1,Deck-Hand)*G$2,0)</f>
        <v/>
      </c>
      <c r="H18" s="1">
        <f>IFERROR(HYPGEOMDIST($D18, $B$6, Target-H$1,Deck-Hand)*H$2,0)</f>
        <v/>
      </c>
      <c r="I18" s="1">
        <f>IFERROR(HYPGEOMDIST($D18, $B$6, Target-I$1,Deck-Hand)*I$2,0)</f>
        <v/>
      </c>
      <c r="J18" s="1">
        <f>IFERROR(HYPGEOMDIST($D18, $B$6, Target-J$1,Deck-Hand)*J$2,0)</f>
        <v/>
      </c>
      <c r="L18" s="14" t="n">
        <v>14</v>
      </c>
      <c r="M18" s="11">
        <f t="array" ref="M18">SUM((COLUMN($E$4:$J$28)-ROW($E$4:$J$28)=6-$L18)*$E$4:$J$28)</f>
        <v/>
      </c>
      <c r="N18" s="17" t="n">
        <v>0</v>
      </c>
      <c r="O18" s="13" t="n"/>
      <c r="P18" s="12">
        <f>(M18+N18)/2</f>
        <v/>
      </c>
      <c r="Q18" s="1" t="n"/>
      <c r="R18" s="7" t="n"/>
      <c r="S18" s="7" t="n"/>
    </row>
    <row r="19">
      <c r="D19" s="6" t="n">
        <v>15</v>
      </c>
      <c r="E19" s="1">
        <f>IFERROR(HYPGEOMDIST($D19, $B$6, Target-E$1,Deck-Hand)*E$2,0)</f>
        <v/>
      </c>
      <c r="F19" s="1">
        <f>IFERROR(HYPGEOMDIST($D19, $B$6, Target-F$1,Deck-Hand)*F$2,0)</f>
        <v/>
      </c>
      <c r="G19" s="1">
        <f>IFERROR(HYPGEOMDIST($D19, $B$6, Target-G$1,Deck-Hand)*G$2,0)</f>
        <v/>
      </c>
      <c r="H19" s="1">
        <f>IFERROR(HYPGEOMDIST($D19, $B$6, Target-H$1,Deck-Hand)*H$2,0)</f>
        <v/>
      </c>
      <c r="I19" s="1">
        <f>IFERROR(HYPGEOMDIST($D19, $B$6, Target-I$1,Deck-Hand)*I$2,0)</f>
        <v/>
      </c>
      <c r="J19" s="1">
        <f>IFERROR(HYPGEOMDIST($D19, $B$6, Target-J$1,Deck-Hand)*J$2,0)</f>
        <v/>
      </c>
      <c r="L19" s="14" t="n">
        <v>15</v>
      </c>
      <c r="M19" s="11">
        <f t="array" ref="M19">SUM((COLUMN($E$4:$J$28)-ROW($E$4:$J$28)=6-$L19)*$E$4:$J$28)</f>
        <v/>
      </c>
      <c r="N19" s="17" t="n">
        <v>0</v>
      </c>
      <c r="O19" s="13" t="n"/>
      <c r="P19" s="12">
        <f>(M19+N19)/2</f>
        <v/>
      </c>
      <c r="Q19" s="1" t="n"/>
      <c r="R19" s="7" t="n"/>
      <c r="S19" s="7" t="n"/>
    </row>
    <row r="20">
      <c r="D20" s="6" t="n">
        <v>16</v>
      </c>
      <c r="E20" s="1">
        <f>IFERROR(HYPGEOMDIST($D20, $B$6, Target-E$1,Deck-Hand)*E$2,0)</f>
        <v/>
      </c>
      <c r="F20" s="1">
        <f>IFERROR(HYPGEOMDIST($D20, $B$6, Target-F$1,Deck-Hand)*F$2,0)</f>
        <v/>
      </c>
      <c r="G20" s="1">
        <f>IFERROR(HYPGEOMDIST($D20, $B$6, Target-G$1,Deck-Hand)*G$2,0)</f>
        <v/>
      </c>
      <c r="H20" s="1">
        <f>IFERROR(HYPGEOMDIST($D20, $B$6, Target-H$1,Deck-Hand)*H$2,0)</f>
        <v/>
      </c>
      <c r="I20" s="1">
        <f>IFERROR(HYPGEOMDIST($D20, $B$6, Target-I$1,Deck-Hand)*I$2,0)</f>
        <v/>
      </c>
      <c r="J20" s="1">
        <f>IFERROR(HYPGEOMDIST($D20, $B$6, Target-J$1,Deck-Hand)*J$2,0)</f>
        <v/>
      </c>
      <c r="L20" s="14" t="n">
        <v>16</v>
      </c>
      <c r="M20" s="11">
        <f t="array" ref="M20">SUM((COLUMN($E$4:$J$28)-ROW($E$4:$J$28)=6-$L20)*$E$4:$J$28)</f>
        <v/>
      </c>
      <c r="N20" s="17" t="n">
        <v>0</v>
      </c>
      <c r="O20" s="13" t="n"/>
      <c r="P20" s="12">
        <f>(M20+N20)/2</f>
        <v/>
      </c>
      <c r="Q20" s="1" t="n"/>
      <c r="R20" s="7" t="n"/>
      <c r="S20" s="7" t="n"/>
    </row>
    <row r="21">
      <c r="D21" s="6" t="n">
        <v>17</v>
      </c>
      <c r="E21" s="1">
        <f>IFERROR(HYPGEOMDIST($D21, $B$6, Target-E$1,Deck-Hand)*E$2,0)</f>
        <v/>
      </c>
      <c r="F21" s="1">
        <f>IFERROR(HYPGEOMDIST($D21, $B$6, Target-F$1,Deck-Hand)*F$2,0)</f>
        <v/>
      </c>
      <c r="G21" s="1">
        <f>IFERROR(HYPGEOMDIST($D21, $B$6, Target-G$1,Deck-Hand)*G$2,0)</f>
        <v/>
      </c>
      <c r="H21" s="1">
        <f>IFERROR(HYPGEOMDIST($D21, $B$6, Target-H$1,Deck-Hand)*H$2,0)</f>
        <v/>
      </c>
      <c r="I21" s="1">
        <f>IFERROR(HYPGEOMDIST($D21, $B$6, Target-I$1,Deck-Hand)*I$2,0)</f>
        <v/>
      </c>
      <c r="J21" s="1">
        <f>IFERROR(HYPGEOMDIST($D21, $B$6, Target-J$1,Deck-Hand)*J$2,0)</f>
        <v/>
      </c>
      <c r="L21" s="14" t="n">
        <v>17</v>
      </c>
      <c r="M21" s="11">
        <f t="array" ref="M21">SUM((COLUMN($E$4:$J$28)-ROW($E$4:$J$28)=6-$L21)*$E$4:$J$28)</f>
        <v/>
      </c>
      <c r="N21" s="17" t="n">
        <v>0</v>
      </c>
      <c r="O21" s="13" t="n"/>
      <c r="P21" s="12">
        <f>(M21+N21)/2</f>
        <v/>
      </c>
      <c r="Q21" s="1" t="n"/>
      <c r="R21" s="7" t="n"/>
      <c r="S21" s="7" t="n"/>
    </row>
    <row r="22">
      <c r="D22" s="6" t="n">
        <v>18</v>
      </c>
      <c r="E22" s="1">
        <f>IFERROR(HYPGEOMDIST($D22, $B$6, Target-E$1,Deck-Hand)*E$2,0)</f>
        <v/>
      </c>
      <c r="F22" s="1">
        <f>IFERROR(HYPGEOMDIST($D22, $B$6, Target-F$1,Deck-Hand)*F$2,0)</f>
        <v/>
      </c>
      <c r="G22" s="1">
        <f>IFERROR(HYPGEOMDIST($D22, $B$6, Target-G$1,Deck-Hand)*G$2,0)</f>
        <v/>
      </c>
      <c r="H22" s="1">
        <f>IFERROR(HYPGEOMDIST($D22, $B$6, Target-H$1,Deck-Hand)*H$2,0)</f>
        <v/>
      </c>
      <c r="I22" s="1">
        <f>IFERROR(HYPGEOMDIST($D22, $B$6, Target-I$1,Deck-Hand)*I$2,0)</f>
        <v/>
      </c>
      <c r="J22" s="1">
        <f>IFERROR(HYPGEOMDIST($D22, $B$6, Target-J$1,Deck-Hand)*J$2,0)</f>
        <v/>
      </c>
      <c r="L22" s="14" t="n">
        <v>18</v>
      </c>
      <c r="M22" s="11">
        <f t="array" ref="M22">SUM((COLUMN($E$4:$J$28)-ROW($E$4:$J$28)=6-$L22)*$E$4:$J$28)</f>
        <v/>
      </c>
      <c r="N22" s="17" t="n">
        <v>0</v>
      </c>
      <c r="O22" s="13" t="n"/>
      <c r="P22" s="12">
        <f>(M22+N22)/2</f>
        <v/>
      </c>
      <c r="Q22" s="1" t="n"/>
      <c r="R22" s="7" t="n"/>
      <c r="S22" s="7" t="n"/>
    </row>
    <row r="23">
      <c r="D23" s="6" t="n">
        <v>19</v>
      </c>
      <c r="E23" s="1">
        <f>IFERROR(HYPGEOMDIST($D23, $B$6, Target-E$1,Deck-Hand)*E$2,0)</f>
        <v/>
      </c>
      <c r="F23" s="1">
        <f>IFERROR(HYPGEOMDIST($D23, $B$6, Target-F$1,Deck-Hand)*F$2,0)</f>
        <v/>
      </c>
      <c r="G23" s="1">
        <f>IFERROR(HYPGEOMDIST($D23, $B$6, Target-G$1,Deck-Hand)*G$2,0)</f>
        <v/>
      </c>
      <c r="H23" s="1">
        <f>IFERROR(HYPGEOMDIST($D23, $B$6, Target-H$1,Deck-Hand)*H$2,0)</f>
        <v/>
      </c>
      <c r="I23" s="1">
        <f>IFERROR(HYPGEOMDIST($D23, $B$6, Target-I$1,Deck-Hand)*I$2,0)</f>
        <v/>
      </c>
      <c r="J23" s="1">
        <f>IFERROR(HYPGEOMDIST($D23, $B$6, Target-J$1,Deck-Hand)*J$2,0)</f>
        <v/>
      </c>
      <c r="L23" s="14" t="n">
        <v>19</v>
      </c>
      <c r="M23" s="11">
        <f t="array" ref="M23">SUM((COLUMN($E$4:$J$28)-ROW($E$4:$J$28)=6-$L23)*$E$4:$J$28)</f>
        <v/>
      </c>
      <c r="N23" s="17" t="n">
        <v>0</v>
      </c>
      <c r="O23" s="13" t="n"/>
      <c r="P23" s="12">
        <f>(M23+N23)/2</f>
        <v/>
      </c>
      <c r="Q23" s="1" t="n"/>
      <c r="R23" s="7" t="n"/>
      <c r="S23" s="7" t="n"/>
    </row>
    <row r="24">
      <c r="D24" s="6" t="n">
        <v>20</v>
      </c>
      <c r="E24" s="1">
        <f>IFERROR(HYPGEOMDIST($D24, $B$6, Target-E$1,Deck-Hand)*E$2,0)</f>
        <v/>
      </c>
      <c r="F24" s="1">
        <f>IFERROR(HYPGEOMDIST($D24, $B$6, Target-F$1,Deck-Hand)*F$2,0)</f>
        <v/>
      </c>
      <c r="G24" s="1">
        <f>IFERROR(HYPGEOMDIST($D24, $B$6, Target-G$1,Deck-Hand)*G$2,0)</f>
        <v/>
      </c>
      <c r="H24" s="1">
        <f>IFERROR(HYPGEOMDIST($D24, $B$6, Target-H$1,Deck-Hand)*H$2,0)</f>
        <v/>
      </c>
      <c r="I24" s="1">
        <f>IFERROR(HYPGEOMDIST($D24, $B$6, Target-I$1,Deck-Hand)*I$2,0)</f>
        <v/>
      </c>
      <c r="J24" s="1">
        <f>IFERROR(HYPGEOMDIST($D24, $B$6, Target-J$1,Deck-Hand)*J$2,0)</f>
        <v/>
      </c>
      <c r="L24" s="14" t="n">
        <v>20</v>
      </c>
      <c r="M24" s="11">
        <f t="array" ref="M24">SUM((COLUMN($E$4:$J$28)-ROW($E$4:$J$28)=6-$L24)*$E$4:$J$28)</f>
        <v/>
      </c>
      <c r="N24" s="17" t="n">
        <v>0</v>
      </c>
      <c r="O24" s="13" t="n"/>
      <c r="P24" s="12">
        <f>(M24+N24)/2</f>
        <v/>
      </c>
      <c r="Q24" s="1" t="n"/>
      <c r="R24" s="1" t="n"/>
      <c r="S24" s="7" t="n"/>
    </row>
    <row r="25">
      <c r="P25" s="1" t="n"/>
      <c r="Q25" s="1" t="n"/>
      <c r="R25" s="1" t="n"/>
      <c r="S25" s="7" t="n"/>
    </row>
    <row r="26">
      <c r="P26" s="1" t="n"/>
      <c r="Q26" s="1" t="n"/>
      <c r="R26" s="1" t="n"/>
      <c r="S26" s="7" t="n"/>
      <c r="U26" s="7" t="n"/>
    </row>
    <row r="27">
      <c r="P27" s="1" t="n"/>
      <c r="Q27" s="1" t="n"/>
      <c r="R27" s="1" t="n"/>
      <c r="S27" s="7" t="n"/>
      <c r="U27" s="7" t="n"/>
    </row>
    <row r="28">
      <c r="P28" s="1" t="n"/>
      <c r="Q28" s="1" t="n"/>
      <c r="R28" s="1" t="n"/>
      <c r="S28" s="7" t="n"/>
      <c r="U28" s="7" t="n"/>
    </row>
    <row r="29">
      <c r="U29" s="7" t="n"/>
    </row>
    <row r="30">
      <c r="U30" s="7" t="n"/>
    </row>
    <row r="31">
      <c r="U31" s="7" t="n"/>
    </row>
    <row r="32">
      <c r="U32" s="7" t="n"/>
    </row>
    <row r="33">
      <c r="U33" s="7" t="n"/>
    </row>
  </sheetData>
  <mergeCells count="1">
    <mergeCell ref="L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Normal Unit</t>
        </is>
      </c>
      <c r="C1" t="inlineStr">
        <is>
          <t>Target Unit</t>
        </is>
      </c>
      <c r="D1" t="inlineStr">
        <is>
          <t>Score</t>
        </is>
      </c>
      <c r="E1" t="inlineStr">
        <is>
          <t>n</t>
        </is>
      </c>
      <c r="F1" t="n">
        <v>0</v>
      </c>
      <c r="G1" t="n">
        <v>1</v>
      </c>
      <c r="H1" t="n">
        <v>2</v>
      </c>
      <c r="I1" t="n">
        <v>3</v>
      </c>
      <c r="J1" t="n">
        <v>4</v>
      </c>
      <c r="K1" t="n">
        <v>5</v>
      </c>
      <c r="L1" t="n">
        <v>6</v>
      </c>
      <c r="M1" t="n">
        <v>7</v>
      </c>
      <c r="N1" t="n">
        <v>8</v>
      </c>
      <c r="O1" t="n">
        <v>9</v>
      </c>
    </row>
    <row r="2">
      <c r="A2" t="n">
        <v>0</v>
      </c>
      <c r="B2" t="n">
        <v>29</v>
      </c>
      <c r="C2" t="n">
        <v>5</v>
      </c>
      <c r="D2" t="n">
        <v>0.519</v>
      </c>
      <c r="E2" t="n">
        <v>1000000</v>
      </c>
      <c r="F2" t="n">
        <v>0.4699</v>
      </c>
      <c r="G2" t="n">
        <v>0.4088</v>
      </c>
      <c r="H2" t="n">
        <v>0.1102</v>
      </c>
      <c r="I2" t="n">
        <v>0.0107</v>
      </c>
      <c r="J2" t="n">
        <v>0.0004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1</v>
      </c>
      <c r="B3" t="n">
        <v>30</v>
      </c>
      <c r="C3" t="n">
        <v>4</v>
      </c>
      <c r="D3" t="n">
        <v>0.4435</v>
      </c>
      <c r="E3" t="n">
        <v>1000000</v>
      </c>
      <c r="F3" t="n">
        <v>0.5518</v>
      </c>
      <c r="G3" t="n">
        <v>0.3707</v>
      </c>
      <c r="H3" t="n">
        <v>0.0728</v>
      </c>
      <c r="I3" t="n">
        <v>0.0046</v>
      </c>
      <c r="J3" t="n">
        <v>0.0001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</v>
      </c>
      <c r="B4" t="n">
        <v>31</v>
      </c>
      <c r="C4" t="n">
        <v>3</v>
      </c>
      <c r="D4" t="n">
        <v>0.3545</v>
      </c>
      <c r="E4" t="n">
        <v>1000000</v>
      </c>
      <c r="F4" t="n">
        <v>0.6442</v>
      </c>
      <c r="G4" t="n">
        <v>0.3148</v>
      </c>
      <c r="H4" t="n">
        <v>0.0398</v>
      </c>
      <c r="I4" t="n">
        <v>0.0013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3</v>
      </c>
      <c r="B5" t="n">
        <v>32</v>
      </c>
      <c r="C5" t="n">
        <v>2</v>
      </c>
      <c r="D5" t="n">
        <v>0.2509</v>
      </c>
      <c r="E5" t="n">
        <v>1000000</v>
      </c>
      <c r="F5" t="n">
        <v>0.7491</v>
      </c>
      <c r="G5" t="n">
        <v>0.2365</v>
      </c>
      <c r="H5" t="n">
        <v>0.0144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4</v>
      </c>
      <c r="B6" t="n">
        <v>33</v>
      </c>
      <c r="C6" t="n">
        <v>1</v>
      </c>
      <c r="D6" t="n">
        <v>0.133</v>
      </c>
      <c r="E6" t="n">
        <v>1000000</v>
      </c>
      <c r="F6" t="n">
        <v>0.867</v>
      </c>
      <c r="G6" t="n">
        <v>0.133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Normal Unit</t>
        </is>
      </c>
      <c r="C1" t="inlineStr">
        <is>
          <t>Target Unit</t>
        </is>
      </c>
      <c r="D1" t="inlineStr">
        <is>
          <t>Score</t>
        </is>
      </c>
      <c r="E1" t="inlineStr">
        <is>
          <t>n</t>
        </is>
      </c>
      <c r="F1" t="n">
        <v>0</v>
      </c>
      <c r="G1" t="n">
        <v>1</v>
      </c>
      <c r="H1" t="n">
        <v>2</v>
      </c>
      <c r="I1" t="n">
        <v>3</v>
      </c>
      <c r="J1" t="n">
        <v>4</v>
      </c>
      <c r="K1" t="n">
        <v>5</v>
      </c>
      <c r="L1" t="n">
        <v>6</v>
      </c>
      <c r="M1" t="n">
        <v>7</v>
      </c>
      <c r="N1" t="n">
        <v>8</v>
      </c>
      <c r="O1" t="n">
        <v>9</v>
      </c>
    </row>
    <row r="2">
      <c r="A2" t="n">
        <v>0</v>
      </c>
      <c r="B2" t="n">
        <v>33</v>
      </c>
      <c r="C2" t="n">
        <v>1</v>
      </c>
      <c r="D2" t="n">
        <v>0.8099</v>
      </c>
      <c r="E2" t="n">
        <v>1000000</v>
      </c>
      <c r="F2" t="n">
        <v>0.8099</v>
      </c>
      <c r="G2" t="n">
        <v>0.1901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1</v>
      </c>
      <c r="B3" t="n">
        <v>32</v>
      </c>
      <c r="C3" t="n">
        <v>2</v>
      </c>
      <c r="D3" t="n">
        <v>0.6850000000000001</v>
      </c>
      <c r="E3" t="n">
        <v>1000000</v>
      </c>
      <c r="F3" t="n">
        <v>0.6523</v>
      </c>
      <c r="G3" t="n">
        <v>0.315</v>
      </c>
      <c r="H3" t="n">
        <v>0.0327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</v>
      </c>
      <c r="B4" t="n">
        <v>31</v>
      </c>
      <c r="C4" t="n">
        <v>3</v>
      </c>
      <c r="D4" t="n">
        <v>0.6099</v>
      </c>
      <c r="E4" t="n">
        <v>1000000</v>
      </c>
      <c r="F4" t="n">
        <v>0.5219</v>
      </c>
      <c r="G4" t="n">
        <v>0.3901</v>
      </c>
      <c r="H4" t="n">
        <v>0.083</v>
      </c>
      <c r="I4" t="n">
        <v>0.0049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3</v>
      </c>
      <c r="B5" t="n">
        <v>30</v>
      </c>
      <c r="C5" t="n">
        <v>4</v>
      </c>
      <c r="D5" t="n">
        <v>0.5707</v>
      </c>
      <c r="E5" t="n">
        <v>1000000</v>
      </c>
      <c r="F5" t="n">
        <v>0.4123</v>
      </c>
      <c r="G5" t="n">
        <v>0.4293</v>
      </c>
      <c r="H5" t="n">
        <v>0.1406</v>
      </c>
      <c r="I5" t="n">
        <v>0.0172</v>
      </c>
      <c r="J5" t="n">
        <v>0.0005999999999999999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4</v>
      </c>
      <c r="B6" t="n">
        <v>29</v>
      </c>
      <c r="C6" t="n">
        <v>5</v>
      </c>
      <c r="D6" t="n">
        <v>0.5633</v>
      </c>
      <c r="E6" t="n">
        <v>1000000</v>
      </c>
      <c r="F6" t="n">
        <v>0.3265</v>
      </c>
      <c r="G6" t="n">
        <v>0.4367</v>
      </c>
      <c r="H6" t="n">
        <v>0.1969</v>
      </c>
      <c r="I6" t="n">
        <v>0.037</v>
      </c>
      <c r="J6" t="n">
        <v>0.0028</v>
      </c>
      <c r="K6" t="n">
        <v>0.0001</v>
      </c>
      <c r="L6" t="n">
        <v>0</v>
      </c>
      <c r="M6" t="n">
        <v>0</v>
      </c>
      <c r="N6" t="n">
        <v>0</v>
      </c>
      <c r="O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2025-11-25T19:15:18Z</dcterms:created>
  <dcterms:modified xmlns:dcterms="http://purl.org/dc/terms/" xmlns:xsi="http://www.w3.org/2001/XMLSchema-instance" xsi:type="dcterms:W3CDTF">2026-02-09T04:54:48Z</dcterms:modified>
  <cp:lastModifiedBy>Angus Bryant</cp:lastModifiedBy>
</cp:coreProperties>
</file>