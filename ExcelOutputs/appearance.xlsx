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gus\OneDrive\Documents\repos\TCGsims\ExcelOutputs\"/>
    </mc:Choice>
  </mc:AlternateContent>
  <xr:revisionPtr revIDLastSave="0" documentId="13_ncr:1_{97244042-E2BB-4F00-B181-3A73C8B0F3D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ntrol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H4" i="3"/>
  <c r="I4" i="3"/>
  <c r="J4" i="3"/>
  <c r="K4" i="3"/>
  <c r="L4" i="3"/>
  <c r="G5" i="3"/>
  <c r="H5" i="3"/>
  <c r="I5" i="3"/>
  <c r="J5" i="3"/>
  <c r="K5" i="3"/>
  <c r="L5" i="3"/>
  <c r="G6" i="3"/>
  <c r="H6" i="3"/>
  <c r="I6" i="3"/>
  <c r="J6" i="3"/>
  <c r="K6" i="3"/>
  <c r="L6" i="3"/>
  <c r="G7" i="3"/>
  <c r="H7" i="3"/>
  <c r="I7" i="3"/>
  <c r="J7" i="3"/>
  <c r="K7" i="3"/>
  <c r="L7" i="3"/>
  <c r="H3" i="3"/>
  <c r="I3" i="3"/>
  <c r="J3" i="3"/>
  <c r="K3" i="3"/>
  <c r="L3" i="3"/>
  <c r="G3" i="3"/>
  <c r="N6" i="3"/>
  <c r="N3" i="3"/>
  <c r="H9" i="3"/>
  <c r="I9" i="3"/>
  <c r="J9" i="3"/>
  <c r="K9" i="3"/>
  <c r="L9" i="3"/>
  <c r="G9" i="3"/>
  <c r="S10" i="1"/>
  <c r="S3" i="1"/>
  <c r="S4" i="1"/>
  <c r="S5" i="1"/>
  <c r="S6" i="1"/>
  <c r="S7" i="1"/>
  <c r="S8" i="1"/>
  <c r="S9" i="1"/>
  <c r="S2" i="1"/>
  <c r="Q3" i="1"/>
  <c r="Q4" i="1"/>
  <c r="Q5" i="1"/>
  <c r="Q6" i="1"/>
  <c r="Q7" i="1"/>
  <c r="Q8" i="1"/>
  <c r="Q9" i="1"/>
  <c r="Q10" i="1"/>
  <c r="Q2" i="1"/>
  <c r="P3" i="1"/>
  <c r="P4" i="1"/>
  <c r="P5" i="1"/>
  <c r="P6" i="1"/>
  <c r="P7" i="1"/>
  <c r="P8" i="1"/>
  <c r="P9" i="1"/>
  <c r="P10" i="1"/>
  <c r="P2" i="1"/>
  <c r="K2" i="2"/>
  <c r="K12" i="2"/>
  <c r="K11" i="2"/>
  <c r="K10" i="2"/>
  <c r="K9" i="2"/>
  <c r="K8" i="2"/>
  <c r="K3" i="2"/>
  <c r="K4" i="2"/>
  <c r="K5" i="2"/>
  <c r="K6" i="2"/>
  <c r="E9" i="2"/>
  <c r="E16" i="2" s="1"/>
  <c r="F9" i="2"/>
  <c r="F16" i="2" s="1"/>
  <c r="G9" i="2"/>
  <c r="G16" i="2" s="1"/>
  <c r="H9" i="2"/>
  <c r="H16" i="2" s="1"/>
  <c r="E10" i="2"/>
  <c r="E17" i="2" s="1"/>
  <c r="F10" i="2"/>
  <c r="F17" i="2" s="1"/>
  <c r="G10" i="2"/>
  <c r="G17" i="2" s="1"/>
  <c r="E11" i="2"/>
  <c r="C11" i="2" s="1"/>
  <c r="F11" i="2"/>
  <c r="F18" i="2" s="1"/>
  <c r="E12" i="2"/>
  <c r="C12" i="2" s="1"/>
  <c r="F8" i="2"/>
  <c r="F15" i="2" s="1"/>
  <c r="G8" i="2"/>
  <c r="G15" i="2" s="1"/>
  <c r="H8" i="2"/>
  <c r="H15" i="2" s="1"/>
  <c r="I8" i="2"/>
  <c r="I15" i="2" s="1"/>
  <c r="E8" i="2"/>
  <c r="E15" i="2" s="1"/>
  <c r="N5" i="3" l="1"/>
  <c r="N7" i="3"/>
  <c r="N4" i="3"/>
  <c r="E19" i="2"/>
  <c r="C8" i="2"/>
  <c r="E18" i="2"/>
  <c r="C10" i="2"/>
  <c r="C9" i="2"/>
</calcChain>
</file>

<file path=xl/sharedStrings.xml><?xml version="1.0" encoding="utf-8"?>
<sst xmlns="http://schemas.openxmlformats.org/spreadsheetml/2006/main" count="14" uniqueCount="14">
  <si>
    <t>Normal</t>
  </si>
  <si>
    <t>Special</t>
  </si>
  <si>
    <t>Score</t>
  </si>
  <si>
    <t>n</t>
  </si>
  <si>
    <t>Cards in Deck</t>
  </si>
  <si>
    <t>P(X &gt; 0)</t>
  </si>
  <si>
    <t>Actual</t>
  </si>
  <si>
    <t>Predicted</t>
  </si>
  <si>
    <t>Difference</t>
  </si>
  <si>
    <t>Returnable cards</t>
  </si>
  <si>
    <t>Keep</t>
  </si>
  <si>
    <t>Return</t>
  </si>
  <si>
    <t>Draws</t>
  </si>
  <si>
    <t>Kept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</si>
</sst>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textRotation="90"/>
    </xf>
    <xf numFmtId="168" fontId="0" fillId="0" borderId="0" xfId="1" applyNumberFormat="1" applyFont="1"/>
    <xf numFmtId="0" fontId="3" fillId="0" borderId="0" xfId="0" applyFont="1" applyAlignment="1">
      <alignment vertic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workbookViewId="0">
      <selection activeCell="S2" sqref="S2:S10"/>
    </sheetView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9" x14ac:dyDescent="0.35">
      <c r="A2" s="1">
        <v>0</v>
      </c>
      <c r="B2">
        <v>26</v>
      </c>
      <c r="C2">
        <v>8</v>
      </c>
      <c r="D2">
        <v>0.91159999999999997</v>
      </c>
      <c r="E2">
        <v>100000</v>
      </c>
      <c r="F2">
        <v>8.8400000000000006E-2</v>
      </c>
      <c r="G2">
        <v>0.2823</v>
      </c>
      <c r="H2">
        <v>0.34089999999999998</v>
      </c>
      <c r="I2">
        <v>0.20780000000000001</v>
      </c>
      <c r="J2">
        <v>6.7799999999999999E-2</v>
      </c>
      <c r="K2">
        <v>1.17E-2</v>
      </c>
      <c r="L2">
        <v>1.1000000000000001E-3</v>
      </c>
      <c r="M2">
        <v>0</v>
      </c>
      <c r="N2">
        <v>0</v>
      </c>
      <c r="P2" s="6">
        <f>SUMPRODUCT($F$1:$N$1,F2:N2)</f>
        <v>1.9237999999999997</v>
      </c>
      <c r="Q2">
        <f>C2*11/50</f>
        <v>1.76</v>
      </c>
      <c r="S2" s="6">
        <f>P2-Q2</f>
        <v>0.16379999999999972</v>
      </c>
    </row>
    <row r="3" spans="1:19" x14ac:dyDescent="0.35">
      <c r="A3" s="1">
        <v>1</v>
      </c>
      <c r="B3">
        <v>27</v>
      </c>
      <c r="C3">
        <v>7</v>
      </c>
      <c r="D3">
        <v>0.874</v>
      </c>
      <c r="E3">
        <v>100000</v>
      </c>
      <c r="F3">
        <v>0.126</v>
      </c>
      <c r="G3">
        <v>0.33079999999999998</v>
      </c>
      <c r="H3">
        <v>0.33350000000000002</v>
      </c>
      <c r="I3">
        <v>0.16289999999999999</v>
      </c>
      <c r="J3">
        <v>4.1300000000000003E-2</v>
      </c>
      <c r="K3">
        <v>5.3E-3</v>
      </c>
      <c r="L3">
        <v>2.0000000000000001E-4</v>
      </c>
      <c r="M3">
        <v>0</v>
      </c>
      <c r="N3">
        <v>0</v>
      </c>
      <c r="P3" s="6">
        <f t="shared" ref="P3:P10" si="0">SUMPRODUCT($F$1:$N$1,F3:N3)</f>
        <v>1.6794</v>
      </c>
      <c r="Q3">
        <f t="shared" ref="Q3:Q10" si="1">C3*11/50</f>
        <v>1.54</v>
      </c>
      <c r="S3" s="6">
        <f t="shared" ref="S3:S9" si="2">P3-Q3</f>
        <v>0.13939999999999997</v>
      </c>
    </row>
    <row r="4" spans="1:19" x14ac:dyDescent="0.35">
      <c r="A4" s="1">
        <v>2</v>
      </c>
      <c r="B4">
        <v>28</v>
      </c>
      <c r="C4">
        <v>6</v>
      </c>
      <c r="D4">
        <v>0.82840000000000003</v>
      </c>
      <c r="E4">
        <v>100000</v>
      </c>
      <c r="F4">
        <v>0.1716</v>
      </c>
      <c r="G4">
        <v>0.38019999999999998</v>
      </c>
      <c r="H4">
        <v>0.307</v>
      </c>
      <c r="I4">
        <v>0.11749999999999999</v>
      </c>
      <c r="J4">
        <v>2.18E-2</v>
      </c>
      <c r="K4">
        <v>1.9E-3</v>
      </c>
      <c r="L4">
        <v>0</v>
      </c>
      <c r="M4">
        <v>0</v>
      </c>
      <c r="N4">
        <v>0</v>
      </c>
      <c r="P4" s="6">
        <f t="shared" si="0"/>
        <v>1.4434</v>
      </c>
      <c r="Q4">
        <f t="shared" si="1"/>
        <v>1.32</v>
      </c>
      <c r="S4" s="6">
        <f t="shared" si="2"/>
        <v>0.12339999999999995</v>
      </c>
    </row>
    <row r="5" spans="1:19" x14ac:dyDescent="0.35">
      <c r="A5" s="1">
        <v>3</v>
      </c>
      <c r="B5">
        <v>29</v>
      </c>
      <c r="C5">
        <v>5</v>
      </c>
      <c r="D5">
        <v>0.76429999999999998</v>
      </c>
      <c r="E5">
        <v>100000</v>
      </c>
      <c r="F5">
        <v>0.23569999999999999</v>
      </c>
      <c r="G5">
        <v>0.42109999999999997</v>
      </c>
      <c r="H5">
        <v>0.26250000000000001</v>
      </c>
      <c r="I5">
        <v>7.1999999999999995E-2</v>
      </c>
      <c r="J5">
        <v>8.3000000000000001E-3</v>
      </c>
      <c r="K5">
        <v>4.0000000000000002E-4</v>
      </c>
      <c r="L5">
        <v>0</v>
      </c>
      <c r="M5">
        <v>0</v>
      </c>
      <c r="N5">
        <v>0</v>
      </c>
      <c r="P5" s="6">
        <f t="shared" si="0"/>
        <v>1.1972999999999998</v>
      </c>
      <c r="Q5">
        <f t="shared" si="1"/>
        <v>1.1000000000000001</v>
      </c>
      <c r="S5" s="6">
        <f t="shared" si="2"/>
        <v>9.729999999999972E-2</v>
      </c>
    </row>
    <row r="6" spans="1:19" x14ac:dyDescent="0.35">
      <c r="A6" s="1">
        <v>4</v>
      </c>
      <c r="B6">
        <v>30</v>
      </c>
      <c r="C6">
        <v>4</v>
      </c>
      <c r="D6">
        <v>0.68369999999999997</v>
      </c>
      <c r="E6">
        <v>100000</v>
      </c>
      <c r="F6">
        <v>0.31630000000000003</v>
      </c>
      <c r="G6">
        <v>0.44190000000000002</v>
      </c>
      <c r="H6">
        <v>0.20349999999999999</v>
      </c>
      <c r="I6">
        <v>3.6299999999999999E-2</v>
      </c>
      <c r="J6">
        <v>2E-3</v>
      </c>
      <c r="K6">
        <v>0</v>
      </c>
      <c r="L6">
        <v>0</v>
      </c>
      <c r="M6">
        <v>0</v>
      </c>
      <c r="N6">
        <v>0</v>
      </c>
      <c r="P6" s="6">
        <f t="shared" si="0"/>
        <v>0.96579999999999999</v>
      </c>
      <c r="Q6">
        <f t="shared" si="1"/>
        <v>0.88</v>
      </c>
      <c r="S6" s="6">
        <f t="shared" si="2"/>
        <v>8.5799999999999987E-2</v>
      </c>
    </row>
    <row r="7" spans="1:19" x14ac:dyDescent="0.35">
      <c r="A7" s="1">
        <v>5</v>
      </c>
      <c r="B7">
        <v>31</v>
      </c>
      <c r="C7">
        <v>3</v>
      </c>
      <c r="D7">
        <v>0.5696</v>
      </c>
      <c r="E7">
        <v>100000</v>
      </c>
      <c r="F7">
        <v>0.4304</v>
      </c>
      <c r="G7">
        <v>0.43080000000000002</v>
      </c>
      <c r="H7">
        <v>0.12839999999999999</v>
      </c>
      <c r="I7">
        <v>1.0500000000000001E-2</v>
      </c>
      <c r="J7">
        <v>0</v>
      </c>
      <c r="K7">
        <v>0</v>
      </c>
      <c r="L7">
        <v>0</v>
      </c>
      <c r="M7">
        <v>0</v>
      </c>
      <c r="N7">
        <v>0</v>
      </c>
      <c r="P7" s="6">
        <f t="shared" si="0"/>
        <v>0.71909999999999996</v>
      </c>
      <c r="Q7">
        <f t="shared" si="1"/>
        <v>0.66</v>
      </c>
      <c r="S7" s="6">
        <f t="shared" si="2"/>
        <v>5.909999999999993E-2</v>
      </c>
    </row>
    <row r="8" spans="1:19" x14ac:dyDescent="0.35">
      <c r="A8" s="1">
        <v>6</v>
      </c>
      <c r="B8">
        <v>32</v>
      </c>
      <c r="C8">
        <v>2</v>
      </c>
      <c r="D8">
        <v>0.42499999999999999</v>
      </c>
      <c r="E8">
        <v>100000</v>
      </c>
      <c r="F8">
        <v>0.57499999999999996</v>
      </c>
      <c r="G8">
        <v>0.3715</v>
      </c>
      <c r="H8">
        <v>5.3400000000000003E-2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 s="6">
        <f t="shared" si="0"/>
        <v>0.4783</v>
      </c>
      <c r="Q8">
        <f t="shared" si="1"/>
        <v>0.44</v>
      </c>
      <c r="S8" s="6">
        <f t="shared" si="2"/>
        <v>3.8300000000000001E-2</v>
      </c>
    </row>
    <row r="9" spans="1:19" x14ac:dyDescent="0.35">
      <c r="A9" s="1">
        <v>7</v>
      </c>
      <c r="B9">
        <v>33</v>
      </c>
      <c r="C9">
        <v>1</v>
      </c>
      <c r="D9">
        <v>0.2399</v>
      </c>
      <c r="E9">
        <v>100000</v>
      </c>
      <c r="F9">
        <v>0.7601</v>
      </c>
      <c r="G9">
        <v>0.2399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 s="6">
        <f t="shared" si="0"/>
        <v>0.2399</v>
      </c>
      <c r="Q9">
        <f t="shared" si="1"/>
        <v>0.22</v>
      </c>
      <c r="S9" s="6">
        <f t="shared" si="2"/>
        <v>1.9900000000000001E-2</v>
      </c>
    </row>
    <row r="10" spans="1:19" x14ac:dyDescent="0.35">
      <c r="A10" s="1">
        <v>8</v>
      </c>
      <c r="B10">
        <v>34</v>
      </c>
      <c r="C10">
        <v>0</v>
      </c>
      <c r="D10">
        <v>0</v>
      </c>
      <c r="E10">
        <v>100000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 s="6">
        <f t="shared" si="0"/>
        <v>0</v>
      </c>
      <c r="Q10">
        <f t="shared" si="1"/>
        <v>0</v>
      </c>
      <c r="S10" s="6">
        <f>P10-Q10</f>
        <v>0</v>
      </c>
    </row>
  </sheetData>
  <conditionalFormatting sqref="P13:X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ignoredErrors>
    <ignoredError sqref="P2:P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860C-EFB9-4BC0-A901-B8DFCF27D58A}">
  <dimension ref="A1:K20"/>
  <sheetViews>
    <sheetView workbookViewId="0">
      <selection activeCell="N5" sqref="N5"/>
    </sheetView>
  </sheetViews>
  <sheetFormatPr defaultRowHeight="14.5" x14ac:dyDescent="0.35"/>
  <cols>
    <col min="4" max="4" width="12" bestFit="1" customWidth="1"/>
  </cols>
  <sheetData>
    <row r="1" spans="1:11" x14ac:dyDescent="0.35">
      <c r="C1" s="5" t="s">
        <v>5</v>
      </c>
      <c r="D1" s="5" t="s">
        <v>4</v>
      </c>
      <c r="E1" s="5">
        <v>0</v>
      </c>
      <c r="F1" s="5">
        <v>1</v>
      </c>
      <c r="G1" s="5">
        <v>2</v>
      </c>
      <c r="H1" s="5">
        <v>3</v>
      </c>
      <c r="I1" s="5">
        <v>4</v>
      </c>
    </row>
    <row r="2" spans="1:11" x14ac:dyDescent="0.35">
      <c r="A2" t="s">
        <v>6</v>
      </c>
      <c r="C2" s="2">
        <v>0.68369999999999997</v>
      </c>
      <c r="D2" s="5">
        <v>4</v>
      </c>
      <c r="E2" s="2">
        <v>0.31630000000000003</v>
      </c>
      <c r="F2" s="2">
        <v>0.44190000000000002</v>
      </c>
      <c r="G2" s="2">
        <v>0.20349999999999999</v>
      </c>
      <c r="H2" s="2">
        <v>3.6299999999999999E-2</v>
      </c>
      <c r="I2" s="2">
        <v>2E-3</v>
      </c>
      <c r="K2">
        <f>SUMPRODUCT($E$1:$I$1,E2:I2)</f>
        <v>0.96579999999999999</v>
      </c>
    </row>
    <row r="3" spans="1:11" x14ac:dyDescent="0.35">
      <c r="C3" s="2">
        <v>0.5696</v>
      </c>
      <c r="D3" s="5">
        <v>3</v>
      </c>
      <c r="E3" s="2">
        <v>0.4304</v>
      </c>
      <c r="F3" s="2">
        <v>0.43080000000000002</v>
      </c>
      <c r="G3" s="2">
        <v>0.12839999999999999</v>
      </c>
      <c r="H3" s="2">
        <v>1.0500000000000001E-2</v>
      </c>
      <c r="I3" s="2"/>
      <c r="K3">
        <f t="shared" ref="K3:K6" si="0">SUMPRODUCT($E$1:$I$1,E3:I3)</f>
        <v>0.71909999999999996</v>
      </c>
    </row>
    <row r="4" spans="1:11" x14ac:dyDescent="0.35">
      <c r="C4" s="2">
        <v>0.42499999999999999</v>
      </c>
      <c r="D4" s="5">
        <v>2</v>
      </c>
      <c r="E4" s="2">
        <v>0.57499999999999996</v>
      </c>
      <c r="F4" s="2">
        <v>0.3715</v>
      </c>
      <c r="G4" s="2">
        <v>5.3400000000000003E-2</v>
      </c>
      <c r="H4" s="2"/>
      <c r="I4" s="2"/>
      <c r="K4">
        <f t="shared" si="0"/>
        <v>0.4783</v>
      </c>
    </row>
    <row r="5" spans="1:11" x14ac:dyDescent="0.35">
      <c r="C5" s="2">
        <v>0.2399</v>
      </c>
      <c r="D5" s="5">
        <v>1</v>
      </c>
      <c r="E5" s="2">
        <v>0.7601</v>
      </c>
      <c r="F5" s="2">
        <v>0.2399</v>
      </c>
      <c r="G5" s="2"/>
      <c r="H5" s="2"/>
      <c r="I5" s="2"/>
      <c r="K5">
        <f t="shared" si="0"/>
        <v>0.2399</v>
      </c>
    </row>
    <row r="6" spans="1:11" x14ac:dyDescent="0.35">
      <c r="C6" s="2">
        <v>0</v>
      </c>
      <c r="D6" s="5">
        <v>0</v>
      </c>
      <c r="E6" s="2">
        <v>1</v>
      </c>
      <c r="F6" s="2"/>
      <c r="G6" s="2"/>
      <c r="H6" s="2"/>
      <c r="I6" s="2"/>
      <c r="K6">
        <f t="shared" si="0"/>
        <v>0</v>
      </c>
    </row>
    <row r="7" spans="1:11" x14ac:dyDescent="0.35">
      <c r="C7" s="2"/>
      <c r="D7" s="5"/>
    </row>
    <row r="8" spans="1:11" x14ac:dyDescent="0.35">
      <c r="A8" t="s">
        <v>7</v>
      </c>
      <c r="C8" s="3">
        <f>1-E8</f>
        <v>0.64285280069474604</v>
      </c>
      <c r="D8" s="5">
        <v>4</v>
      </c>
      <c r="E8" s="2">
        <f>HYPGEOMDIST(E$1,11,$D8,50)</f>
        <v>0.35714719930525396</v>
      </c>
      <c r="F8" s="2">
        <f>HYPGEOMDIST(F$1,11,$D8,50)</f>
        <v>0.43651324359531035</v>
      </c>
      <c r="G8" s="2">
        <f>HYPGEOMDIST(G$1,11,$D8,50)</f>
        <v>0.17696482848458522</v>
      </c>
      <c r="H8" s="2">
        <f>HYPGEOMDIST(H$1,11,$D8,50)</f>
        <v>2.7941815023881916E-2</v>
      </c>
      <c r="I8" s="2">
        <f>HYPGEOMDIST(I$1,11,$D8,50)</f>
        <v>1.4329135909683019E-3</v>
      </c>
      <c r="K8">
        <f>SUMPRODUCT($E$1:$I$1,E8:I8)</f>
        <v>0.87999999999999989</v>
      </c>
    </row>
    <row r="9" spans="1:11" x14ac:dyDescent="0.35">
      <c r="C9" s="3">
        <f t="shared" ref="C9:C12" si="1">1-E9</f>
        <v>0.53372448979591858</v>
      </c>
      <c r="D9" s="5">
        <v>3</v>
      </c>
      <c r="E9" s="2">
        <f>HYPGEOMDIST(E$1,11,$D9,50)</f>
        <v>0.46627551020408148</v>
      </c>
      <c r="F9" s="2">
        <f>HYPGEOMDIST(F$1,11,$D9,50)</f>
        <v>0.41586734693877547</v>
      </c>
      <c r="G9" s="2">
        <f>HYPGEOMDIST(G$1,11,$D9,50)</f>
        <v>0.10943877551020409</v>
      </c>
      <c r="H9" s="2">
        <f>HYPGEOMDIST(H$1,11,$D9,50)</f>
        <v>8.4183673469387776E-3</v>
      </c>
      <c r="I9" s="2"/>
      <c r="K9">
        <f t="shared" ref="K9:K12" si="2">SUMPRODUCT($E$1:$I$1,E9:I9)</f>
        <v>0.66</v>
      </c>
    </row>
    <row r="10" spans="1:11" x14ac:dyDescent="0.35">
      <c r="C10" s="3">
        <f t="shared" si="1"/>
        <v>0.39510204081632638</v>
      </c>
      <c r="D10" s="5">
        <v>2</v>
      </c>
      <c r="E10" s="2">
        <f>HYPGEOMDIST(E$1,11,$D10,50)</f>
        <v>0.60489795918367362</v>
      </c>
      <c r="F10" s="2">
        <f>HYPGEOMDIST(F$1,11,$D10,50)</f>
        <v>0.35020408163265299</v>
      </c>
      <c r="G10" s="2">
        <f>HYPGEOMDIST(G$1,11,$D10,50)</f>
        <v>4.489795918367348E-2</v>
      </c>
      <c r="H10" s="2"/>
      <c r="I10" s="2"/>
      <c r="K10">
        <f t="shared" si="2"/>
        <v>0.43999999999999995</v>
      </c>
    </row>
    <row r="11" spans="1:11" x14ac:dyDescent="0.35">
      <c r="C11" s="3">
        <f t="shared" si="1"/>
        <v>0.22000000000000008</v>
      </c>
      <c r="D11" s="5">
        <v>1</v>
      </c>
      <c r="E11" s="2">
        <f>HYPGEOMDIST(E$1,11,$D11,50)</f>
        <v>0.77999999999999992</v>
      </c>
      <c r="F11" s="2">
        <f>HYPGEOMDIST(F$1,11,$D11,50)</f>
        <v>0.21999999999999997</v>
      </c>
      <c r="G11" s="2"/>
      <c r="H11" s="2"/>
      <c r="I11" s="2"/>
      <c r="K11">
        <f t="shared" si="2"/>
        <v>0.21999999999999997</v>
      </c>
    </row>
    <row r="12" spans="1:11" x14ac:dyDescent="0.35">
      <c r="C12" s="3">
        <f t="shared" si="1"/>
        <v>0</v>
      </c>
      <c r="D12" s="5">
        <v>0</v>
      </c>
      <c r="E12" s="2">
        <f>HYPGEOMDIST(E$1,11,$D12,50)</f>
        <v>1</v>
      </c>
      <c r="F12" s="2"/>
      <c r="G12" s="2"/>
      <c r="H12" s="2"/>
      <c r="I12" s="2"/>
      <c r="K12">
        <f t="shared" si="2"/>
        <v>0</v>
      </c>
    </row>
    <row r="13" spans="1:11" x14ac:dyDescent="0.35">
      <c r="C13" s="3"/>
      <c r="E13" s="4" t="s">
        <v>8</v>
      </c>
      <c r="F13" s="4"/>
      <c r="G13" s="4"/>
      <c r="H13" s="4"/>
      <c r="I13" s="4"/>
    </row>
    <row r="14" spans="1:11" x14ac:dyDescent="0.35">
      <c r="E14" s="5">
        <v>0</v>
      </c>
      <c r="F14" s="5">
        <v>1</v>
      </c>
      <c r="G14" s="5">
        <v>2</v>
      </c>
      <c r="H14" s="5">
        <v>3</v>
      </c>
      <c r="I14" s="5">
        <v>4</v>
      </c>
    </row>
    <row r="15" spans="1:11" x14ac:dyDescent="0.35">
      <c r="D15" s="5">
        <v>4</v>
      </c>
      <c r="E15" s="3">
        <f>E2-E8</f>
        <v>-4.0847199305253934E-2</v>
      </c>
      <c r="F15" s="3">
        <f t="shared" ref="F15:I15" si="3">F2-F8</f>
        <v>5.3867564046896632E-3</v>
      </c>
      <c r="G15" s="3">
        <f t="shared" si="3"/>
        <v>2.6535171515414763E-2</v>
      </c>
      <c r="H15" s="3">
        <f t="shared" si="3"/>
        <v>8.3581849761180833E-3</v>
      </c>
      <c r="I15" s="3">
        <f t="shared" si="3"/>
        <v>5.6708640903169812E-4</v>
      </c>
    </row>
    <row r="16" spans="1:11" x14ac:dyDescent="0.35">
      <c r="D16" s="5">
        <v>3</v>
      </c>
      <c r="E16" s="3">
        <f>E3-E9</f>
        <v>-3.5875510204081473E-2</v>
      </c>
      <c r="F16" s="3">
        <f>F3-F9</f>
        <v>1.4932653061224543E-2</v>
      </c>
      <c r="G16" s="3">
        <f>G3-G9</f>
        <v>1.8961224489795897E-2</v>
      </c>
      <c r="H16" s="3">
        <f>H3-H9</f>
        <v>2.0816326530612231E-3</v>
      </c>
      <c r="I16" s="3"/>
    </row>
    <row r="17" spans="4:9" x14ac:dyDescent="0.35">
      <c r="D17" s="5">
        <v>2</v>
      </c>
      <c r="E17" s="3">
        <f>E4-E10</f>
        <v>-2.9897959183673661E-2</v>
      </c>
      <c r="F17" s="3">
        <f>F4-F10</f>
        <v>2.1295918367347011E-2</v>
      </c>
      <c r="G17" s="3">
        <f>G4-G10</f>
        <v>8.5020408163265226E-3</v>
      </c>
      <c r="H17" s="3"/>
      <c r="I17" s="3"/>
    </row>
    <row r="18" spans="4:9" x14ac:dyDescent="0.35">
      <c r="D18" s="5">
        <v>1</v>
      </c>
      <c r="E18" s="3">
        <f>E5-E11</f>
        <v>-1.9899999999999918E-2</v>
      </c>
      <c r="F18" s="3">
        <f>F5-F11</f>
        <v>1.9900000000000029E-2</v>
      </c>
      <c r="G18" s="3"/>
      <c r="H18" s="3"/>
      <c r="I18" s="3"/>
    </row>
    <row r="19" spans="4:9" x14ac:dyDescent="0.35">
      <c r="D19" s="5">
        <v>0</v>
      </c>
      <c r="E19" s="3">
        <f>E6-E12</f>
        <v>0</v>
      </c>
      <c r="F19" s="3"/>
      <c r="G19" s="3"/>
      <c r="H19" s="3"/>
      <c r="I19" s="3"/>
    </row>
    <row r="20" spans="4:9" x14ac:dyDescent="0.35">
      <c r="E20" s="3"/>
      <c r="F20" s="3"/>
      <c r="G20" s="3"/>
      <c r="H20" s="3"/>
      <c r="I20" s="3"/>
    </row>
  </sheetData>
  <mergeCells count="1">
    <mergeCell ref="E13:I13"/>
  </mergeCells>
  <conditionalFormatting sqref="E15:I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K2 K3:K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BFBA-484A-4B9F-8278-DE8FD69A4F39}">
  <dimension ref="A1:N15"/>
  <sheetViews>
    <sheetView tabSelected="1" workbookViewId="0">
      <selection activeCell="G11" sqref="G11"/>
    </sheetView>
  </sheetViews>
  <sheetFormatPr defaultRowHeight="14.5" x14ac:dyDescent="0.35"/>
  <cols>
    <col min="5" max="6" width="3.6328125" customWidth="1"/>
  </cols>
  <sheetData>
    <row r="1" spans="1:14" x14ac:dyDescent="0.35">
      <c r="A1" s="5" t="s">
        <v>10</v>
      </c>
      <c r="B1">
        <v>3</v>
      </c>
      <c r="G1" s="7" t="s">
        <v>9</v>
      </c>
      <c r="H1" s="7"/>
      <c r="I1" s="7"/>
      <c r="J1" s="7"/>
      <c r="K1" s="7"/>
      <c r="L1" s="7"/>
    </row>
    <row r="2" spans="1:14" x14ac:dyDescent="0.35">
      <c r="A2" s="5" t="s">
        <v>11</v>
      </c>
      <c r="B2">
        <v>16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</row>
    <row r="3" spans="1:14" ht="14.5" customHeight="1" x14ac:dyDescent="0.35">
      <c r="A3" s="5" t="s">
        <v>12</v>
      </c>
      <c r="B3">
        <v>6</v>
      </c>
      <c r="E3" s="8" t="s">
        <v>13</v>
      </c>
      <c r="F3">
        <v>0</v>
      </c>
      <c r="G3" s="9">
        <f>HYPGEOMDIST($F3,5+G$2,$B$1,50)</f>
        <v>0.72397959183673455</v>
      </c>
      <c r="H3" s="9">
        <f t="shared" ref="H3:L7" si="0">HYPGEOMDIST($F3,5+H$2,$B$1,50)</f>
        <v>0.6757142857142856</v>
      </c>
      <c r="I3" s="9">
        <f t="shared" si="0"/>
        <v>0.62964285714285695</v>
      </c>
      <c r="J3" s="9">
        <f t="shared" si="0"/>
        <v>0.58571428571428574</v>
      </c>
      <c r="K3" s="9">
        <f t="shared" si="0"/>
        <v>0.54387755102040825</v>
      </c>
      <c r="L3" s="9">
        <f t="shared" si="0"/>
        <v>0.50408163265306127</v>
      </c>
      <c r="N3" s="9">
        <f>SUMPRODUCT(G3:L3,$G$9:$L$9)</f>
        <v>0.64888962932111627</v>
      </c>
    </row>
    <row r="4" spans="1:14" x14ac:dyDescent="0.35">
      <c r="E4" s="8"/>
      <c r="F4">
        <v>1</v>
      </c>
      <c r="G4" s="9">
        <f t="shared" ref="G4:G7" si="1">HYPGEOMDIST($F4,5+G$2,$B$1,50)</f>
        <v>0.25255102040816313</v>
      </c>
      <c r="H4" s="9">
        <f t="shared" si="0"/>
        <v>0.2895918367346938</v>
      </c>
      <c r="I4" s="9">
        <f t="shared" si="0"/>
        <v>0.32250000000000001</v>
      </c>
      <c r="J4" s="9">
        <f t="shared" si="0"/>
        <v>0.35142857142857148</v>
      </c>
      <c r="K4" s="9">
        <f t="shared" si="0"/>
        <v>0.37653061224489809</v>
      </c>
      <c r="L4" s="9">
        <f t="shared" si="0"/>
        <v>0.39795918367346939</v>
      </c>
      <c r="N4" s="9">
        <f t="shared" ref="N4:N7" si="2">SUMPRODUCT(G4:L4,$G$9:$L$9)</f>
        <v>0.30781174510620579</v>
      </c>
    </row>
    <row r="5" spans="1:14" x14ac:dyDescent="0.35">
      <c r="E5" s="8"/>
      <c r="F5">
        <v>2</v>
      </c>
      <c r="G5" s="9">
        <f t="shared" si="1"/>
        <v>2.2959183673469399E-2</v>
      </c>
      <c r="H5" s="9">
        <f t="shared" si="0"/>
        <v>3.3673469387755076E-2</v>
      </c>
      <c r="I5" s="9">
        <f t="shared" si="0"/>
        <v>4.6071428571428555E-2</v>
      </c>
      <c r="J5" s="9">
        <f t="shared" si="0"/>
        <v>5.9999999999999991E-2</v>
      </c>
      <c r="K5" s="9">
        <f t="shared" si="0"/>
        <v>7.5306122448979593E-2</v>
      </c>
      <c r="L5" s="9">
        <f t="shared" si="0"/>
        <v>9.1836734693877556E-2</v>
      </c>
      <c r="N5" s="9">
        <f t="shared" si="2"/>
        <v>4.1707621824239892E-2</v>
      </c>
    </row>
    <row r="6" spans="1:14" x14ac:dyDescent="0.35">
      <c r="E6" s="8"/>
      <c r="F6">
        <v>3</v>
      </c>
      <c r="G6" s="9">
        <f t="shared" si="1"/>
        <v>5.1020408163265257E-4</v>
      </c>
      <c r="H6" s="9">
        <f t="shared" si="0"/>
        <v>1.0204081632653047E-3</v>
      </c>
      <c r="I6" s="9">
        <f t="shared" si="0"/>
        <v>1.7857142857142846E-3</v>
      </c>
      <c r="J6" s="9">
        <f t="shared" si="0"/>
        <v>2.8571428571428606E-3</v>
      </c>
      <c r="K6" s="9">
        <f t="shared" si="0"/>
        <v>4.2857142857142868E-3</v>
      </c>
      <c r="L6" s="9">
        <f t="shared" si="0"/>
        <v>6.1224489795918347E-3</v>
      </c>
      <c r="N6" s="9">
        <f t="shared" si="2"/>
        <v>1.5910037484381506E-3</v>
      </c>
    </row>
    <row r="7" spans="1:14" x14ac:dyDescent="0.35">
      <c r="E7" s="8"/>
      <c r="F7">
        <v>4</v>
      </c>
      <c r="G7" s="9">
        <f t="shared" si="1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  <c r="L7" s="9">
        <f t="shared" si="0"/>
        <v>0</v>
      </c>
      <c r="N7" s="9">
        <f t="shared" si="2"/>
        <v>0</v>
      </c>
    </row>
    <row r="8" spans="1:14" x14ac:dyDescent="0.35">
      <c r="E8" s="10"/>
      <c r="G8" s="9"/>
      <c r="H8" s="9"/>
      <c r="I8" s="9"/>
      <c r="J8" s="9"/>
      <c r="K8" s="9"/>
      <c r="L8" s="9"/>
    </row>
    <row r="9" spans="1:14" x14ac:dyDescent="0.35">
      <c r="G9" s="9">
        <f>HYPGEOMDIST(G2,5,$B$2,50)</f>
        <v>0.13132964564179053</v>
      </c>
      <c r="H9" s="9">
        <f t="shared" ref="H9:L9" si="3">HYPGEOMDIST(H2,5,$B$2,50)</f>
        <v>0.35021238837810797</v>
      </c>
      <c r="I9" s="9">
        <f t="shared" si="3"/>
        <v>0.33891521455945939</v>
      </c>
      <c r="J9" s="9">
        <f t="shared" si="3"/>
        <v>0.14827540636976352</v>
      </c>
      <c r="K9" s="9">
        <f t="shared" si="3"/>
        <v>2.9205761860710968E-2</v>
      </c>
      <c r="L9" s="9">
        <f t="shared" si="3"/>
        <v>2.0615831901678329E-3</v>
      </c>
    </row>
    <row r="10" spans="1:14" x14ac:dyDescent="0.35">
      <c r="G10" s="9"/>
      <c r="H10" s="9"/>
      <c r="I10" s="9"/>
      <c r="J10" s="9"/>
      <c r="K10" s="9"/>
    </row>
    <row r="11" spans="1:14" x14ac:dyDescent="0.35">
      <c r="G11" s="9"/>
      <c r="H11" s="9"/>
      <c r="I11" s="9"/>
      <c r="J11" s="9"/>
      <c r="K11" s="9"/>
      <c r="L11" s="9"/>
    </row>
    <row r="12" spans="1:14" x14ac:dyDescent="0.35">
      <c r="G12" s="9"/>
      <c r="H12" s="9"/>
      <c r="I12" s="9"/>
      <c r="J12" s="9"/>
      <c r="K12" s="9"/>
      <c r="L12" s="9"/>
    </row>
    <row r="13" spans="1:14" x14ac:dyDescent="0.35">
      <c r="G13" s="9"/>
      <c r="H13" s="9"/>
      <c r="I13" s="9"/>
      <c r="J13" s="9"/>
      <c r="K13" s="9"/>
      <c r="L13" s="9"/>
    </row>
    <row r="14" spans="1:14" x14ac:dyDescent="0.35">
      <c r="G14" s="9"/>
      <c r="H14" s="9"/>
      <c r="I14" s="9"/>
      <c r="J14" s="9"/>
      <c r="K14" s="9"/>
      <c r="L14" s="9"/>
    </row>
    <row r="15" spans="1:14" x14ac:dyDescent="0.35">
      <c r="G15" s="9"/>
      <c r="H15" s="9"/>
      <c r="I15" s="9"/>
      <c r="J15" s="9"/>
      <c r="K15" s="9"/>
      <c r="L15" s="9"/>
    </row>
  </sheetData>
  <mergeCells count="2">
    <mergeCell ref="G1:L1"/>
    <mergeCell ref="E3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Angus Bryant</cp:lastModifiedBy>
  <dcterms:created xsi:type="dcterms:W3CDTF">2025-11-25T03:45:12Z</dcterms:created>
  <dcterms:modified xsi:type="dcterms:W3CDTF">2025-11-25T18:35:11Z</dcterms:modified>
</cp:coreProperties>
</file>